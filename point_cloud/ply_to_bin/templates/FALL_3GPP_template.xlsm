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Z:\PCC\chataignerc\3gpp\3gpp-sa4-beyond2d-grid\3gpp-sa4-beyond2d\ply_to_bin\templates\"/>
    </mc:Choice>
  </mc:AlternateContent>
  <xr:revisionPtr revIDLastSave="0" documentId="13_ncr:1_{F6816632-5D53-4A48-8528-C902F7C98B50}" xr6:coauthVersionLast="47" xr6:coauthVersionMax="47" xr10:uidLastSave="{00000000-0000-0000-0000-000000000000}"/>
  <bookViews>
    <workbookView xWindow="-28920" yWindow="30" windowWidth="29040" windowHeight="15720" activeTab="2" xr2:uid="{00000000-000D-0000-FFFF-FFFF00000000}"/>
  </bookViews>
  <sheets>
    <sheet name="Graphs" sheetId="2" r:id="rId1"/>
    <sheet name="names" sheetId="4" state="hidden" r:id="rId2"/>
    <sheet name="C2 lossy RA" sheetId="6" r:id="rId3"/>
  </sheets>
  <functionGroups builtInGroupCount="19"/>
  <definedNames>
    <definedName name="all_cols" localSheetId="0">Graphs!$I$2:$I$26</definedName>
    <definedName name="filter_cols" localSheetId="0">IF(ISREF(Graphs!filter_cols_),Graphs!filter_cols_,Graphs!all_cols)</definedName>
    <definedName name="filter_cols_" localSheetId="0">INDIRECT(HLOOKUP(Graphs!$B$1,Graphs!$M$1:$ZZ$2,2,0))</definedName>
    <definedName name="graph_a_A_title" localSheetId="0">INDIRECT(VLOOKUP("name.A."&amp;Graphs!$B$1,names!$A:$B,2,0))</definedName>
    <definedName name="graph_a_B_title" localSheetId="0">INDIRECT(VLOOKUP("name.B."&amp;Graphs!$B$1,names!$A:$B,2,0))</definedName>
    <definedName name="graph_a_title" localSheetId="0">CONCATENATE(Graphs!graph_a_y_title, " (Graph a)")</definedName>
    <definedName name="graph_a_x_range_A" localSheetId="0">IF(ISREF(Graphs!graph_a_x_range_A_),Graphs!graph_a_x_range_A_,{0})</definedName>
    <definedName name="graph_a_x_range_A_" localSheetId="0">INDEX(INDIRECT(VLOOKUP("range." &amp; Graphs!$B$1 &amp;"."&amp; Graphs!$B$2, names!$A:$B,2,0)), 0, VLOOKUP("col."&amp; Graphs!$B$1 &amp;".A."&amp; Graphs!$B$4, names!$A:$B,2,0))</definedName>
    <definedName name="graph_a_x_range_B" localSheetId="0">IF(ISREF(Graphs!graph_a_x_range_B_),Graphs!graph_a_x_range_B_,{0})</definedName>
    <definedName name="graph_a_x_range_B_" localSheetId="0">INDEX(INDIRECT(VLOOKUP("range." &amp; Graphs!$B$1 &amp;"."&amp; Graphs!$B$2, names!$A:$B,2,0)), 0, VLOOKUP("col."&amp; Graphs!$B$1 &amp;".B."&amp; Graphs!$B$4, names!$A:$B,2,0))</definedName>
    <definedName name="graph_a_x_title" localSheetId="0">OFFSET(Graphs!all_cols, MATCH(Graphs!$B$4, Graphs!all_cols, 0)-1,1,1,1)</definedName>
    <definedName name="graph_a_y_range_A" localSheetId="0">IF(ISREF(Graphs!graph_a_y_range_A_),Graphs!graph_a_y_range_A_,{0})</definedName>
    <definedName name="graph_a_y_range_A_" localSheetId="0">INDEX(INDIRECT(VLOOKUP("range." &amp; Graphs!$B$1 &amp;"."&amp; Graphs!$B$2, names!$A:$B,2,0)), 0, VLOOKUP("col."&amp; Graphs!$B$1 &amp;".A."&amp; Graphs!$D$4, names!$A:$B,2,0))</definedName>
    <definedName name="graph_a_y_range_B" localSheetId="0">IF(ISREF(Graphs!graph_a_y_range_B_),Graphs!graph_a_y_range_B_,{0})</definedName>
    <definedName name="graph_a_y_range_B_" localSheetId="0">INDEX(INDIRECT(VLOOKUP("range." &amp; Graphs!$B$1 &amp;"."&amp; Graphs!$B$2, names!$A:$B,2,0)), 0, VLOOKUP("col."&amp; Graphs!$B$1 &amp;".B."&amp; Graphs!$D$4, names!$A:$B,2,0))</definedName>
    <definedName name="graph_a_y_title" localSheetId="0">OFFSET(Graphs!all_cols, MATCH(Graphs!$D$4, Graphs!all_cols, 0)-1,1,1,1)</definedName>
    <definedName name="graph_b_A_title" localSheetId="0">INDIRECT(VLOOKUP("name.A."&amp;Graphs!$B$1,names!$A:$B,2,0))</definedName>
    <definedName name="graph_b_B_title" localSheetId="0">INDIRECT(VLOOKUP("name.B."&amp;Graphs!$B$1,names!$A:$B,2,0))</definedName>
    <definedName name="graph_b_title" localSheetId="0">CONCATENATE(Graphs!graph_b_y_title, " (Graph b)")</definedName>
    <definedName name="graph_b_x_range_A" localSheetId="0">IF(ISREF(Graphs!graph_b_x_range_A_),Graphs!graph_b_x_range_A_,{0})</definedName>
    <definedName name="graph_b_x_range_A_" localSheetId="0">INDEX(INDIRECT(VLOOKUP("range." &amp; Graphs!$B$1 &amp;"."&amp; Graphs!$B$2, names!$A:$B,2,0)), 0, VLOOKUP("col."&amp; Graphs!$B$1 &amp;".A."&amp; Graphs!$B$5, names!$A:$B,2,0))</definedName>
    <definedName name="graph_b_x_range_B" localSheetId="0">IF(ISREF(Graphs!graph_b_x_range_B_),Graphs!graph_b_x_range_B_,{0})</definedName>
    <definedName name="graph_b_x_range_B_" localSheetId="0">INDEX(INDIRECT(VLOOKUP("range." &amp; Graphs!$B$1 &amp;"."&amp; Graphs!$B$2, names!$A:$B,2,0)), 0, VLOOKUP("col."&amp; Graphs!$B$1 &amp;".B."&amp; Graphs!$B$5, names!$A:$B,2,0))</definedName>
    <definedName name="graph_b_x_title" localSheetId="0">OFFSET(Graphs!all_cols, MATCH(Graphs!$B$5, Graphs!all_cols, 0)-1,1,1,1)</definedName>
    <definedName name="graph_b_y_range_A" localSheetId="0">IF(ISREF(Graphs!graph_b_y_range_A_),Graphs!graph_b_y_range_A_,{0})</definedName>
    <definedName name="graph_b_y_range_A_" localSheetId="0">INDEX(INDIRECT(VLOOKUP("range." &amp; Graphs!$B$1 &amp;"."&amp; Graphs!$B$2, names!$A:$B,2,0)), 0, VLOOKUP("col."&amp; Graphs!$B$1 &amp;".A."&amp; Graphs!$D$5, names!$A:$B,2,0))</definedName>
    <definedName name="graph_b_y_range_B" localSheetId="0">IF(ISREF(Graphs!graph_b_y_range_B_),Graphs!graph_b_y_range_B_,{0})</definedName>
    <definedName name="graph_b_y_range_B_" localSheetId="0">INDEX(INDIRECT(VLOOKUP("range." &amp; Graphs!$B$1 &amp;"."&amp; Graphs!$B$2, names!$A:$B,2,0)), 0, VLOOKUP("col."&amp; Graphs!$B$1 &amp;".B."&amp; Graphs!$D$5, names!$A:$B,2,0))</definedName>
    <definedName name="graph_b_y_title" localSheetId="0">OFFSET(Graphs!all_cols, MATCH(Graphs!$D$5, Graphs!all_cols, 0)-1,1,1,1)</definedName>
    <definedName name="graph_c_A_title" localSheetId="0">INDIRECT(VLOOKUP("name.A."&amp;Graphs!$B$1,names!$A:$B,2,0))</definedName>
    <definedName name="graph_c_B_title" localSheetId="0">INDIRECT(VLOOKUP("name.B."&amp;Graphs!$B$1,names!$A:$B,2,0))</definedName>
    <definedName name="graph_c_title" localSheetId="0">CONCATENATE(Graphs!graph_c_y_title, " (Graph c)")</definedName>
    <definedName name="graph_c_x_range_A" localSheetId="0">IF(ISREF(Graphs!graph_c_x_range_A_),Graphs!graph_c_x_range_A_,{0})</definedName>
    <definedName name="graph_c_x_range_A_" localSheetId="0">INDEX(INDIRECT(VLOOKUP("range." &amp; Graphs!$B$1 &amp;"."&amp; Graphs!$B$2, names!$A:$B,2,0)), 0, VLOOKUP("col."&amp; Graphs!$B$1 &amp;".A."&amp; Graphs!$B$6, names!$A:$B,2,0))</definedName>
    <definedName name="graph_c_x_range_B" localSheetId="0">IF(ISREF(Graphs!graph_c_x_range_B_),Graphs!graph_c_x_range_B_,{0})</definedName>
    <definedName name="graph_c_x_range_B_" localSheetId="0">INDEX(INDIRECT(VLOOKUP("range." &amp; Graphs!$B$1 &amp;"."&amp; Graphs!$B$2, names!$A:$B,2,0)), 0, VLOOKUP("col."&amp; Graphs!$B$1 &amp;".B."&amp; Graphs!$B$6, names!$A:$B,2,0))</definedName>
    <definedName name="graph_c_x_title" localSheetId="0">OFFSET(Graphs!all_cols, MATCH(Graphs!$B$6, Graphs!all_cols, 0)-1,1,1,1)</definedName>
    <definedName name="graph_c_y_range_A" localSheetId="0">IF(ISREF(Graphs!graph_c_y_range_A_),Graphs!graph_c_y_range_A_,{0})</definedName>
    <definedName name="graph_c_y_range_A_" localSheetId="0">INDEX(INDIRECT(VLOOKUP("range." &amp; Graphs!$B$1 &amp;"."&amp; Graphs!$B$2, names!$A:$B,2,0)), 0, VLOOKUP("col."&amp; Graphs!$B$1 &amp;".A."&amp; Graphs!$D$6, names!$A:$B,2,0))</definedName>
    <definedName name="graph_c_y_range_B" localSheetId="0">IF(ISREF(Graphs!graph_c_y_range_B_),Graphs!graph_c_y_range_B_,{0})</definedName>
    <definedName name="graph_c_y_range_B_" localSheetId="0">INDEX(INDIRECT(VLOOKUP("range." &amp; Graphs!$B$1 &amp;"."&amp; Graphs!$B$2, names!$A:$B,2,0)), 0, VLOOKUP("col."&amp; Graphs!$B$1 &amp;".B."&amp; Graphs!$D$6, names!$A:$B,2,0))</definedName>
    <definedName name="graph_c_y_title" localSheetId="0">OFFSET(Graphs!all_cols, MATCH(Graphs!$D$6, Graphs!all_cols, 0)-1,1,1,1)</definedName>
    <definedName name="graph_d_A_title" localSheetId="0">INDIRECT(VLOOKUP("name.A."&amp;Graphs!$B$1,names!$A:$B,2,0))</definedName>
    <definedName name="graph_d_B_title" localSheetId="0">INDIRECT(VLOOKUP("name.B."&amp;Graphs!$B$1,names!$A:$B,2,0))</definedName>
    <definedName name="graph_d_title" localSheetId="0">CONCATENATE(Graphs!graph_d_y_title, " (Graph d)")</definedName>
    <definedName name="graph_d_x_range_A" localSheetId="0">IF(ISREF(Graphs!graph_d_x_range_A_),Graphs!graph_d_x_range_A_,{0})</definedName>
    <definedName name="graph_d_x_range_A_" localSheetId="0">INDEX(INDIRECT(VLOOKUP("range." &amp; Graphs!$B$1 &amp;"."&amp; Graphs!$B$2, names!$A:$B,2,0)), 0, VLOOKUP("col."&amp; Graphs!$B$1 &amp;".A."&amp; Graphs!$B$7, names!$A:$B,2,0))</definedName>
    <definedName name="graph_d_x_range_B" localSheetId="0">IF(ISREF(Graphs!graph_d_x_range_B_),Graphs!graph_d_x_range_B_,{0})</definedName>
    <definedName name="graph_d_x_range_B_" localSheetId="0">INDEX(INDIRECT(VLOOKUP("range." &amp; Graphs!$B$1 &amp;"."&amp; Graphs!$B$2, names!$A:$B,2,0)), 0, VLOOKUP("col."&amp; Graphs!$B$1 &amp;".B."&amp; Graphs!$B$7, names!$A:$B,2,0))</definedName>
    <definedName name="graph_d_x_title" localSheetId="0">OFFSET(Graphs!all_cols, MATCH(Graphs!$B$7, Graphs!all_cols, 0)-1,1,1,1)</definedName>
    <definedName name="graph_d_y_range_A" localSheetId="0">IF(ISREF(Graphs!graph_d_y_range_A_),Graphs!graph_d_y_range_A_,{0})</definedName>
    <definedName name="graph_d_y_range_A_" localSheetId="0">INDEX(INDIRECT(VLOOKUP("range." &amp; Graphs!$B$1 &amp;"."&amp; Graphs!$B$2, names!$A:$B,2,0)), 0, VLOOKUP("col."&amp; Graphs!$B$1 &amp;".A."&amp; Graphs!$D$7, names!$A:$B,2,0))</definedName>
    <definedName name="graph_d_y_range_B" localSheetId="0">IF(ISREF(Graphs!graph_d_y_range_B_),Graphs!graph_d_y_range_B_,{0})</definedName>
    <definedName name="graph_d_y_range_B_" localSheetId="0">INDEX(INDIRECT(VLOOKUP("range." &amp; Graphs!$B$1 &amp;"."&amp; Graphs!$B$2, names!$A:$B,2,0)), 0, VLOOKUP("col."&amp; Graphs!$B$1 &amp;".B."&amp; Graphs!$D$7, names!$A:$B,2,0))</definedName>
    <definedName name="graph_d_y_title" localSheetId="0">OFFSET(Graphs!all_cols, MATCH(Graphs!$D$7, Graphs!all_cols, 0)-1,1,1,1)</definedName>
    <definedName name="graph_e_A_title" localSheetId="0">INDIRECT(VLOOKUP("name.A."&amp;Graphs!$B$1,names!$A:$B,2,0))</definedName>
    <definedName name="graph_e_B_title" localSheetId="0">INDIRECT(VLOOKUP("name.B."&amp;Graphs!$B$1,names!$A:$B,2,0))</definedName>
    <definedName name="graph_e_title" localSheetId="0">CONCATENATE(Graphs!graph_e_y_title, " (Graph e)")</definedName>
    <definedName name="graph_e_x_range_A" localSheetId="0">IF(ISREF(Graphs!graph_e_x_range_A_),Graphs!graph_e_x_range_A_,{0})</definedName>
    <definedName name="graph_e_x_range_A_" localSheetId="0">INDEX(INDIRECT(VLOOKUP("range." &amp; Graphs!$B$1 &amp;"."&amp; Graphs!$B$2, names!$A:$B,2,0)), 0, VLOOKUP("col."&amp; Graphs!$B$1 &amp;".A."&amp; Graphs!$B$8, names!$A:$B,2,0))</definedName>
    <definedName name="graph_e_x_range_B" localSheetId="0">IF(ISREF(Graphs!graph_e_x_range_B_),Graphs!graph_e_x_range_B_,{0})</definedName>
    <definedName name="graph_e_x_range_B_" localSheetId="0">INDEX(INDIRECT(VLOOKUP("range." &amp; Graphs!$B$1 &amp;"."&amp; Graphs!$B$2, names!$A:$B,2,0)), 0, VLOOKUP("col."&amp; Graphs!$B$1 &amp;".B."&amp; Graphs!$B$8, names!$A:$B,2,0))</definedName>
    <definedName name="graph_e_x_title" localSheetId="0">OFFSET(Graphs!all_cols, MATCH(Graphs!$B$8, Graphs!all_cols, 0)-1,1,1,1)</definedName>
    <definedName name="graph_e_y_range_A" localSheetId="0">IF(ISREF(Graphs!graph_e_y_range_A_),Graphs!graph_e_y_range_A_,{0})</definedName>
    <definedName name="graph_e_y_range_A_" localSheetId="0">INDEX(INDIRECT(VLOOKUP("range." &amp; Graphs!$B$1 &amp;"."&amp; Graphs!$B$2, names!$A:$B,2,0)), 0, VLOOKUP("col."&amp; Graphs!$B$1 &amp;".A."&amp; Graphs!$D$8, names!$A:$B,2,0))</definedName>
    <definedName name="graph_e_y_range_B" localSheetId="0">IF(ISREF(Graphs!graph_e_y_range_B_),Graphs!graph_e_y_range_B_,{0})</definedName>
    <definedName name="graph_e_y_range_B_" localSheetId="0">INDEX(INDIRECT(VLOOKUP("range." &amp; Graphs!$B$1 &amp;"."&amp; Graphs!$B$2, names!$A:$B,2,0)), 0, VLOOKUP("col."&amp; Graphs!$B$1 &amp;".B."&amp; Graphs!$D$8, names!$A:$B,2,0))</definedName>
    <definedName name="graph_e_y_title" localSheetId="0">OFFSET(Graphs!all_cols, MATCH(Graphs!$D$8, Graphs!all_cols, 0)-1,1,1,1)</definedName>
    <definedName name="graph_f_A_title" localSheetId="0">INDIRECT(VLOOKUP("name.A."&amp;Graphs!$B$1,names!$A:$B,2,0))</definedName>
    <definedName name="graph_f_B_title" localSheetId="0">INDIRECT(VLOOKUP("name.B."&amp;Graphs!$B$1,names!$A:$B,2,0))</definedName>
    <definedName name="graph_f_title" localSheetId="0">CONCATENATE(Graphs!graph_f_y_title, " (Graph f)")</definedName>
    <definedName name="graph_f_x_range_A" localSheetId="0">IF(ISREF(Graphs!graph_f_x_range_A_),Graphs!graph_f_x_range_A_,{0})</definedName>
    <definedName name="graph_f_x_range_A_" localSheetId="0">INDEX(INDIRECT(VLOOKUP("range." &amp; Graphs!$B$1 &amp;"."&amp; Graphs!$B$2, names!$A:$B,2,0)), 0, VLOOKUP("col."&amp; Graphs!$B$1 &amp;".A."&amp; Graphs!$B$9, names!$A:$B,2,0))</definedName>
    <definedName name="graph_f_x_range_B" localSheetId="0">IF(ISREF(Graphs!graph_f_x_range_B_),Graphs!graph_f_x_range_B_,{0})</definedName>
    <definedName name="graph_f_x_range_B_" localSheetId="0">INDEX(INDIRECT(VLOOKUP("range." &amp; Graphs!$B$1 &amp;"."&amp; Graphs!$B$2, names!$A:$B,2,0)), 0, VLOOKUP("col."&amp; Graphs!$B$1 &amp;".B."&amp; Graphs!$B$9, names!$A:$B,2,0))</definedName>
    <definedName name="graph_f_x_title" localSheetId="0">OFFSET(Graphs!all_cols, MATCH(Graphs!$B$9, Graphs!all_cols, 0)-1,1,1,1)</definedName>
    <definedName name="graph_f_y_range_A" localSheetId="0">IF(ISREF(Graphs!graph_f_y_range_A_),Graphs!graph_f_y_range_A_,{0})</definedName>
    <definedName name="graph_f_y_range_A_" localSheetId="0">INDEX(INDIRECT(VLOOKUP("range." &amp; Graphs!$B$1 &amp;"."&amp; Graphs!$B$2, names!$A:$B,2,0)), 0, VLOOKUP("col."&amp; Graphs!$B$1 &amp;".A."&amp; Graphs!$D$9, names!$A:$B,2,0))</definedName>
    <definedName name="graph_f_y_range_B" localSheetId="0">IF(ISREF(Graphs!graph_f_y_range_B_),Graphs!graph_f_y_range_B_,{0})</definedName>
    <definedName name="graph_f_y_range_B_" localSheetId="0">INDEX(INDIRECT(VLOOKUP("range." &amp; Graphs!$B$1 &amp;"."&amp; Graphs!$B$2, names!$A:$B,2,0)), 0, VLOOKUP("col."&amp; Graphs!$B$1 &amp;".B."&amp; Graphs!$D$9, names!$A:$B,2,0))</definedName>
    <definedName name="graph_f_y_title" localSheetId="0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4" i="6" l="1"/>
  <c r="AC34" i="6"/>
  <c r="AD34" i="6"/>
  <c r="AB34" i="6"/>
  <c r="L6" i="6" l="1"/>
  <c r="M6" i="6"/>
  <c r="N6" i="6"/>
  <c r="K6" i="6" s="1"/>
  <c r="L7" i="6"/>
  <c r="M7" i="6"/>
  <c r="N7" i="6"/>
  <c r="K7" i="6" s="1"/>
  <c r="L8" i="6"/>
  <c r="M8" i="6"/>
  <c r="N8" i="6"/>
  <c r="L9" i="6"/>
  <c r="M9" i="6"/>
  <c r="N9" i="6"/>
  <c r="K9" i="6" s="1"/>
  <c r="L10" i="6"/>
  <c r="M10" i="6"/>
  <c r="N10" i="6"/>
  <c r="K10" i="6" s="1"/>
  <c r="L11" i="6"/>
  <c r="M11" i="6"/>
  <c r="N11" i="6"/>
  <c r="K11" i="6" s="1"/>
  <c r="L12" i="6"/>
  <c r="M12" i="6"/>
  <c r="N12" i="6"/>
  <c r="K12" i="6" s="1"/>
  <c r="L13" i="6"/>
  <c r="M13" i="6"/>
  <c r="N13" i="6"/>
  <c r="K13" i="6" s="1"/>
  <c r="L14" i="6"/>
  <c r="M14" i="6"/>
  <c r="N14" i="6"/>
  <c r="K14" i="6" s="1"/>
  <c r="L15" i="6"/>
  <c r="M15" i="6"/>
  <c r="N15" i="6"/>
  <c r="K15" i="6" s="1"/>
  <c r="L16" i="6"/>
  <c r="M16" i="6"/>
  <c r="N16" i="6"/>
  <c r="K16" i="6" s="1"/>
  <c r="L17" i="6"/>
  <c r="M17" i="6"/>
  <c r="N17" i="6"/>
  <c r="K17" i="6" s="1"/>
  <c r="L18" i="6"/>
  <c r="M18" i="6"/>
  <c r="N18" i="6"/>
  <c r="K18" i="6" s="1"/>
  <c r="L19" i="6"/>
  <c r="M19" i="6"/>
  <c r="N19" i="6"/>
  <c r="K19" i="6" s="1"/>
  <c r="L20" i="6"/>
  <c r="M20" i="6"/>
  <c r="N20" i="6"/>
  <c r="K20" i="6" s="1"/>
  <c r="L21" i="6"/>
  <c r="M21" i="6"/>
  <c r="N21" i="6"/>
  <c r="K21" i="6" s="1"/>
  <c r="L22" i="6"/>
  <c r="M22" i="6"/>
  <c r="N22" i="6"/>
  <c r="K22" i="6" s="1"/>
  <c r="L23" i="6"/>
  <c r="M23" i="6"/>
  <c r="N23" i="6"/>
  <c r="K23" i="6" s="1"/>
  <c r="L24" i="6"/>
  <c r="M24" i="6"/>
  <c r="N24" i="6"/>
  <c r="K24" i="6" s="1"/>
  <c r="L25" i="6"/>
  <c r="M25" i="6"/>
  <c r="N25" i="6"/>
  <c r="K25" i="6" s="1"/>
  <c r="L26" i="6"/>
  <c r="M26" i="6"/>
  <c r="N26" i="6"/>
  <c r="K26" i="6" s="1"/>
  <c r="L27" i="6"/>
  <c r="M27" i="6"/>
  <c r="N27" i="6"/>
  <c r="K27" i="6" s="1"/>
  <c r="L28" i="6"/>
  <c r="M28" i="6"/>
  <c r="N28" i="6"/>
  <c r="K28" i="6" s="1"/>
  <c r="L29" i="6"/>
  <c r="M29" i="6"/>
  <c r="N29" i="6"/>
  <c r="K29" i="6" s="1"/>
  <c r="M5" i="6"/>
  <c r="L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5" i="6"/>
  <c r="N5" i="6"/>
  <c r="K5" i="6" s="1"/>
  <c r="K8" i="6" l="1"/>
  <c r="J31" i="6"/>
  <c r="J32" i="6"/>
  <c r="J30" i="6"/>
  <c r="J33" i="6" l="1"/>
</calcChain>
</file>

<file path=xl/sharedStrings.xml><?xml version="1.0" encoding="utf-8"?>
<sst xmlns="http://schemas.openxmlformats.org/spreadsheetml/2006/main" count="298" uniqueCount="212">
  <si>
    <t>Total</t>
  </si>
  <si>
    <t>Cat1-A average</t>
  </si>
  <si>
    <t>Cat1-B average</t>
  </si>
  <si>
    <t>Cat1-C average</t>
  </si>
  <si>
    <t>Overall average</t>
  </si>
  <si>
    <t>D1</t>
  </si>
  <si>
    <t>D2</t>
  </si>
  <si>
    <t>Luma</t>
  </si>
  <si>
    <t>Chroma Cb</t>
  </si>
  <si>
    <t>Chroma Cr</t>
  </si>
  <si>
    <t>Condition:</t>
  </si>
  <si>
    <t>← Select this …</t>
  </si>
  <si>
    <t>Columns</t>
  </si>
  <si>
    <t>C2 lossy RA</t>
  </si>
  <si>
    <t>Sequence:</t>
  </si>
  <si>
    <t>← … then this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</si>
  <si>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</si>
  <si>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</si>
  <si>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</si>
  <si>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</si>
  <si>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</si>
  <si>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</si>
  <si>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</si>
  <si>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dec.pc-d2-psnr</t>
  </si>
  <si>
    <t>← settings for graph b</t>
  </si>
  <si>
    <t>dec.cr-psnr</t>
  </si>
  <si>
    <t>Chroma Cr End-to-end PSNR [dB]</t>
  </si>
  <si>
    <t>← settings for graph c</t>
  </si>
  <si>
    <t>dec.d1-mse</t>
  </si>
  <si>
    <t>D1 Geometry MSE</t>
  </si>
  <si>
    <t>dec.pc-y-psnr</t>
  </si>
  <si>
    <t>← settings for graph d</t>
  </si>
  <si>
    <t>dec.d1-psnr</t>
  </si>
  <si>
    <t>D1 Geometry PSNR [dB]</t>
  </si>
  <si>
    <t>dec.pc-cb-psnr</t>
  </si>
  <si>
    <t>← settings for graph e</t>
  </si>
  <si>
    <t>dec.d2-mse</t>
  </si>
  <si>
    <t>D2 Geometry MSE</t>
  </si>
  <si>
    <t>dec.pc-cr-psnr</t>
  </si>
  <si>
    <t>← settings for graph f</t>
  </si>
  <si>
    <t>dec.d2-psnr</t>
  </si>
  <si>
    <t>D2 Geometry PSNR [dB]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</si>
  <si>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</si>
  <si>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</si>
  <si>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</si>
  <si>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</si>
  <si>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</si>
  <si>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</si>
  <si>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</si>
  <si>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</si>
  <si>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</si>
  <si>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</si>
  <si>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</si>
  <si>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dec.utime</t>
  </si>
  <si>
    <t>User Decoder runtime [s]</t>
  </si>
  <si>
    <t>Child Decoder runtime [s]</t>
  </si>
  <si>
    <t>Self Decoder runtime [s]</t>
  </si>
  <si>
    <t>dec.y-psnr</t>
  </si>
  <si>
    <t>Luma End-to-end PSNR [dB]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</si>
  <si>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</si>
  <si>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</si>
  <si>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</si>
  <si>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</si>
  <si>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</si>
  <si>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</si>
  <si>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</si>
  <si>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</si>
  <si>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</si>
  <si>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Class</t>
  </si>
  <si>
    <t>Sequence</t>
  </si>
  <si>
    <t>Geometry precision [bits]</t>
  </si>
  <si>
    <t>№ frames</t>
  </si>
  <si>
    <t>Frame rate [fps]</t>
  </si>
  <si>
    <t>class</t>
  </si>
  <si>
    <t>sequence</t>
  </si>
  <si>
    <t>src.numfaces</t>
  </si>
  <si>
    <t>src.geometry-precision</t>
  </si>
  <si>
    <t>src.framecount</t>
  </si>
  <si>
    <t>src.framerate</t>
  </si>
  <si>
    <t>cat1-A</t>
  </si>
  <si>
    <t>cat1-B</t>
  </si>
  <si>
    <t>cat1-C</t>
  </si>
  <si>
    <t>Overall</t>
  </si>
  <si>
    <t>Total time [s]</t>
  </si>
  <si>
    <t>Total time [%]</t>
  </si>
  <si>
    <t>col.C2 lossy RA.class</t>
  </si>
  <si>
    <t>col.C2 lossy RA.sequence</t>
  </si>
  <si>
    <t>col.C2 lossy RA.variant</t>
  </si>
  <si>
    <t>col.C2 lossy RA.src.geometry-precision</t>
  </si>
  <si>
    <t>col.C2 lossy RA.src.framecount</t>
  </si>
  <si>
    <t>col.C2 lossy RA.src.framerate</t>
  </si>
  <si>
    <t>col.C2 lossy RA.A.eqn.bitrate</t>
  </si>
  <si>
    <t>col.C2 lossy RA.A.enc.ext.bits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</si>
  <si>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</si>
  <si>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</si>
  <si>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</si>
  <si>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</si>
  <si>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</si>
  <si>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</si>
  <si>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RA.B.eqn.bitrate</t>
  </si>
  <si>
    <t>col.C2 lossy RA.B.enc.ext.bits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</si>
  <si>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</si>
  <si>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</si>
  <si>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</si>
  <si>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</si>
  <si>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</si>
  <si>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</si>
  <si>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</si>
  <si>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</si>
  <si>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</si>
  <si>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</si>
  <si>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</si>
  <si>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name.A.C2 lossy RA</t>
  </si>
  <si>
    <t>name.B.C2 lossy RA</t>
  </si>
  <si>
    <t>cols.C2 lossy RA</t>
  </si>
  <si>
    <t>Variant</t>
  </si>
  <si>
    <t>variant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</si>
  <si>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</si>
  <si>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</si>
  <si>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</si>
  <si>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</si>
  <si>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</si>
  <si>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</si>
  <si>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</si>
  <si>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</si>
  <si>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</si>
  <si>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</si>
  <si>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</si>
  <si>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</si>
  <si>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col.C2 lossy RA.A.eqn.geo.bits</t>
  </si>
  <si>
    <t>col.C2 lossy RA.B.eqn.geo.bits</t>
  </si>
  <si>
    <t>aliyah</t>
  </si>
  <si>
    <t>mitch</t>
  </si>
  <si>
    <t>nathalie</t>
  </si>
  <si>
    <t>henry</t>
  </si>
  <si>
    <t>range.C2 lossy RA.aliyah</t>
  </si>
  <si>
    <t>range.C2 lossy RA.mitch</t>
  </si>
  <si>
    <t>range.C2 lossy RA.nathalie</t>
  </si>
  <si>
    <t>range.C2 lossy RA.henry</t>
  </si>
  <si>
    <t>№ input points</t>
  </si>
  <si>
    <t>Bits per input point [bpip]</t>
  </si>
  <si>
    <t>Bitstream [bits]</t>
  </si>
  <si>
    <t>Geometry PSNR [dB]</t>
  </si>
  <si>
    <t>End-to-end PSNR [dB]</t>
  </si>
  <si>
    <t>PSNR [dB]</t>
  </si>
  <si>
    <t>Encoder runtime [s]</t>
  </si>
  <si>
    <t>Decoder runtime [s]</t>
  </si>
  <si>
    <t>Tot,Geom</t>
  </si>
  <si>
    <t>Geometry</t>
  </si>
  <si>
    <t xml:space="preserve">Colour </t>
  </si>
  <si>
    <t>Occ+Patch</t>
  </si>
  <si>
    <t>Colour</t>
  </si>
  <si>
    <t>Self</t>
  </si>
  <si>
    <t>Child</t>
  </si>
  <si>
    <t>A,eqn,bitrate</t>
  </si>
  <si>
    <t>A,eqn,bpp</t>
  </si>
  <si>
    <t>A,eqn,bpp,geometry+occ+patch</t>
  </si>
  <si>
    <t>A,eqn,bpp,geometry</t>
  </si>
  <si>
    <t>A,eqn,bpp,colour</t>
  </si>
  <si>
    <t>A,eqn,bits,totalgeometry</t>
  </si>
  <si>
    <t>A,dec,numpoints</t>
  </si>
  <si>
    <t>A,dec,numpoints,mean</t>
  </si>
  <si>
    <t>A,dec,numduppoints,mean</t>
  </si>
  <si>
    <t>A,enc,ext,bits</t>
  </si>
  <si>
    <t>A,enc,bits,geometry</t>
  </si>
  <si>
    <t>A,enc,bits,occ+patch</t>
  </si>
  <si>
    <t>A,enc,bits,colour</t>
  </si>
  <si>
    <t>A,dec,d1-psnr</t>
  </si>
  <si>
    <t>A,dec,d2-psnr</t>
  </si>
  <si>
    <t>A,dec,y-psnr</t>
  </si>
  <si>
    <t>A,dec,cb-psnr</t>
  </si>
  <si>
    <t>A,dec,cr-psnr</t>
  </si>
  <si>
    <t>A,enc,utime,self</t>
  </si>
  <si>
    <t>A,enc,utime,children</t>
  </si>
  <si>
    <t>A,dec,utime,self</t>
  </si>
  <si>
    <t>A,dec,utime,children</t>
  </si>
  <si>
    <t>col.C2 lossy RA.src.numpoints</t>
  </si>
  <si>
    <t>col.C2 lossy RA.eqn.ab.bdrate-pcqm</t>
  </si>
  <si>
    <t>dec.pcqm</t>
  </si>
  <si>
    <t>PCQM PSNR [dB]</t>
  </si>
  <si>
    <t>col.C2 lossy RA.A.dec.numpoints</t>
  </si>
  <si>
    <t>PCQM</t>
  </si>
  <si>
    <t>juggleSoccer</t>
  </si>
  <si>
    <t>range.C2 lossy RA.juggleSoccer</t>
  </si>
  <si>
    <t>col.C2 lossy RA.B.dec.numpoints</t>
  </si>
  <si>
    <t>enc.self-utime</t>
  </si>
  <si>
    <t>dec.self-utime</t>
  </si>
  <si>
    <t>col.C2 lossy RA.A.eqn.bpip</t>
  </si>
  <si>
    <t>col.C2 lossy RA.A.enc.geo.bits</t>
  </si>
  <si>
    <t>col.C2 lossy RA.A.enc.occmeta.bits</t>
  </si>
  <si>
    <t>col.C2 lossy RA.A.enc.totalgeo.bits</t>
  </si>
  <si>
    <t>col.C2 lossy RA.A.enc.self-utime</t>
  </si>
  <si>
    <t>col.C2 lossy RA.A.enc.child-utime</t>
  </si>
  <si>
    <t>col.C2 lossy RA.A.dec.self-utime</t>
  </si>
  <si>
    <t>col.C2 lossy RA.A.dec.child-utime</t>
  </si>
  <si>
    <t>col.C2 lossy RA.B.eqn.bpip</t>
  </si>
  <si>
    <t>'C2 lossy RA'!$I$1</t>
  </si>
  <si>
    <t>'C2 lossy RA'!$AG$1</t>
  </si>
  <si>
    <t>dec.child-utime</t>
  </si>
  <si>
    <t>col.C2 lossy RA.B.enc.geo.bits</t>
  </si>
  <si>
    <t>col.C2 lossy RA.B.enc.occmeta.bits</t>
  </si>
  <si>
    <t>col.C2 lossy RA.B.enc.totalgeo.bits</t>
  </si>
  <si>
    <t>col.C2 lossy RA.B.enc.self-utime</t>
  </si>
  <si>
    <t>col.C2 lossy RA.B.enc.child-utime</t>
  </si>
  <si>
    <t>col.C2 lossy RA.B.dec.self-utime</t>
  </si>
  <si>
    <t>col.C2 lossy RA.B.dec.child-utime</t>
  </si>
  <si>
    <t>dec.pc-pcqm</t>
  </si>
  <si>
    <t>PCQM Pointcloud-based PSNR [dB]</t>
  </si>
  <si>
    <t>col.C2 lossy RA.B.dec.pc-pcqm</t>
  </si>
  <si>
    <t>col.C2 lossy RA.A.dec.pc-pcqm</t>
  </si>
  <si>
    <t>Tested</t>
  </si>
  <si>
    <t>names!$B$59:$K$59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</si>
</sst>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164" fontId="0" fillId="0" borderId="0" xfId="0" applyNumberFormat="1" applyAlignment="1">
      <alignment horizontal="center"/>
    </xf>
    <xf numFmtId="0" fontId="0" fillId="5" borderId="0" xfId="0" applyFill="1"/>
    <xf numFmtId="0" fontId="1" fillId="4" borderId="1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textRotation="90" wrapText="1"/>
    </xf>
    <xf numFmtId="0" fontId="1" fillId="3" borderId="1" xfId="0" applyFont="1" applyFill="1" applyBorder="1" applyAlignment="1">
      <alignment horizontal="center" textRotation="90" wrapText="1"/>
    </xf>
    <xf numFmtId="0" fontId="0" fillId="7" borderId="0" xfId="0" applyFill="1"/>
    <xf numFmtId="0" fontId="0" fillId="7" borderId="0" xfId="0" applyFill="1" applyAlignment="1">
      <alignment horizontal="center"/>
    </xf>
    <xf numFmtId="165" fontId="0" fillId="7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166" fontId="0" fillId="8" borderId="0" xfId="0" applyNumberFormat="1" applyFill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165" fontId="0" fillId="9" borderId="1" xfId="0" applyNumberForma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8" borderId="0" xfId="0" applyFill="1"/>
    <xf numFmtId="2" fontId="0" fillId="8" borderId="0" xfId="0" applyNumberFormat="1" applyFill="1" applyAlignment="1">
      <alignment horizontal="center"/>
    </xf>
    <xf numFmtId="0" fontId="0" fillId="10" borderId="0" xfId="0" applyFill="1"/>
    <xf numFmtId="2" fontId="0" fillId="10" borderId="0" xfId="0" applyNumberFormat="1" applyFill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8" borderId="1" xfId="0" applyFill="1" applyBorder="1"/>
    <xf numFmtId="2" fontId="0" fillId="8" borderId="1" xfId="0" applyNumberFormat="1" applyFill="1" applyBorder="1" applyAlignment="1">
      <alignment horizontal="center"/>
    </xf>
    <xf numFmtId="166" fontId="0" fillId="8" borderId="1" xfId="0" applyNumberFormat="1" applyFill="1" applyBorder="1" applyAlignment="1">
      <alignment horizontal="center"/>
    </xf>
    <xf numFmtId="0" fontId="0" fillId="10" borderId="1" xfId="0" applyFill="1" applyBorder="1"/>
    <xf numFmtId="2" fontId="0" fillId="10" borderId="1" xfId="0" applyNumberFormat="1" applyFill="1" applyBorder="1" applyAlignment="1">
      <alignment horizontal="center"/>
    </xf>
    <xf numFmtId="0" fontId="1" fillId="11" borderId="1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0" borderId="0" xfId="0" quotePrefix="1"/>
    <xf numFmtId="1" fontId="0" fillId="0" borderId="0" xfId="0" applyNumberFormat="1"/>
    <xf numFmtId="1" fontId="0" fillId="0" borderId="0" xfId="0" applyNumberFormat="1" applyAlignment="1">
      <alignment horizontal="center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2" borderId="0" xfId="0" applyFill="1"/>
    <xf numFmtId="0" fontId="1" fillId="3" borderId="0" xfId="0" applyFont="1" applyFill="1" applyAlignment="1">
      <alignment horizontal="center" wrapText="1"/>
    </xf>
    <xf numFmtId="0" fontId="0" fillId="0" borderId="0" xfId="0"/>
    <xf numFmtId="0" fontId="1" fillId="4" borderId="1" xfId="0" applyFont="1" applyFill="1" applyBorder="1" applyAlignment="1">
      <alignment horizontal="center" wrapText="1"/>
    </xf>
    <xf numFmtId="0" fontId="0" fillId="0" borderId="1" xfId="0" applyBorder="1"/>
    <xf numFmtId="0" fontId="1" fillId="3" borderId="1" xfId="0" applyFont="1" applyFill="1" applyBorder="1" applyAlignment="1">
      <alignment horizontal="center" wrapText="1"/>
    </xf>
    <xf numFmtId="0" fontId="1" fillId="6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</cellXfs>
  <cellStyles count="1">
    <cellStyle name="Normal" xfId="0" builtinId="0"/>
  </cellStyles>
  <dxfs count="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Graphs!graph_a_x_range_B</c:f>
              <c:numCache>
                <c:formatCode>General</c:formatCode>
                <c:ptCount val="5"/>
              </c:numCache>
            </c:numRef>
          </c:xVal>
          <c:yVal>
            <c:numRef>
              <c:f>Graphs!graph_a_y_range_B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5098896"/>
        <c:axId val="-1667619712"/>
      </c:scatterChart>
      <c:valAx>
        <c:axId val="-166509889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-1667619712"/>
        <c:crosses val="autoZero"/>
        <c:crossBetween val="midCat"/>
      </c:valAx>
      <c:valAx>
        <c:axId val="-166761971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650988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Graphs!graph_b_x_range_B</c:f>
              <c:numCache>
                <c:formatCode>General</c:formatCode>
                <c:ptCount val="5"/>
              </c:numCache>
            </c:numRef>
          </c:xVal>
          <c:yVal>
            <c:numRef>
              <c:f>Graphs!graph_b_y_range_B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7033376"/>
        <c:axId val="-1667744416"/>
      </c:scatterChart>
      <c:valAx>
        <c:axId val="-16670333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-1667744416"/>
        <c:crosses val="autoZero"/>
        <c:crossBetween val="midCat"/>
      </c:valAx>
      <c:valAx>
        <c:axId val="-166774441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67033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PCQM Pointcloud-based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Graphs!graph_c_x_range_B</c:f>
              <c:numCache>
                <c:formatCode>General</c:formatCode>
                <c:ptCount val="5"/>
              </c:numCache>
            </c:numRef>
          </c:xVal>
          <c:yVal>
            <c:numRef>
              <c:f>Graphs!graph_c_y_range_B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7785376"/>
        <c:axId val="-1661940912"/>
      </c:scatterChart>
      <c:valAx>
        <c:axId val="-16677853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-1661940912"/>
        <c:crosses val="autoZero"/>
        <c:crossBetween val="midCat"/>
      </c:valAx>
      <c:valAx>
        <c:axId val="-166194091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PCQM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677853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Graphs!graph_d_x_range_B</c:f>
              <c:numCache>
                <c:formatCode>General</c:formatCode>
                <c:ptCount val="5"/>
              </c:numCache>
            </c:numRef>
          </c:xVal>
          <c:yVal>
            <c:numRef>
              <c:f>Graphs!graph_d_y_range_B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57232"/>
        <c:axId val="-1661953968"/>
      </c:scatterChart>
      <c:valAx>
        <c:axId val="-166195723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-1661953968"/>
        <c:crosses val="autoZero"/>
        <c:crossBetween val="midCat"/>
      </c:valAx>
      <c:valAx>
        <c:axId val="-166195396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619572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Graphs!graph_e_x_range_B</c:f>
              <c:numCache>
                <c:formatCode>General</c:formatCode>
                <c:ptCount val="5"/>
              </c:numCache>
            </c:numRef>
          </c:xVal>
          <c:yVal>
            <c:numRef>
              <c:f>Graphs!graph_e_y_range_B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40368"/>
        <c:axId val="-1661938192"/>
      </c:scatterChart>
      <c:valAx>
        <c:axId val="-166194036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-1661938192"/>
        <c:crosses val="autoZero"/>
        <c:crossBetween val="midCat"/>
      </c:valAx>
      <c:valAx>
        <c:axId val="-166193819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619403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Graphs!graph_f_y_range_A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Graphs!graph_f_x_range_B</c:f>
              <c:numCache>
                <c:formatCode>General</c:formatCode>
                <c:ptCount val="5"/>
              </c:numCache>
            </c:numRef>
          </c:xVal>
          <c:yVal>
            <c:numRef>
              <c:f>Graphs!graph_f_y_range_B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1953424"/>
        <c:axId val="-1661947984"/>
      </c:scatterChart>
      <c:valAx>
        <c:axId val="-166195342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crossAx val="-1661947984"/>
        <c:crosses val="autoZero"/>
        <c:crossBetween val="midCat"/>
      </c:valAx>
      <c:valAx>
        <c:axId val="-166194798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61953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140970</xdr:colOff>
      <xdr:row>10</xdr:row>
      <xdr:rowOff>13606</xdr:rowOff>
    </xdr:from>
    <xdr:to>
      <xdr:col>7</xdr:col>
      <xdr:colOff>417195</xdr:colOff>
      <xdr:row>31</xdr:row>
      <xdr:rowOff>127906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589462</xdr:colOff>
      <xdr:row>10</xdr:row>
      <xdr:rowOff>13606</xdr:rowOff>
    </xdr:from>
    <xdr:to>
      <xdr:col>18</xdr:col>
      <xdr:colOff>198937</xdr:colOff>
      <xdr:row>31</xdr:row>
      <xdr:rowOff>127906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408215</xdr:colOff>
      <xdr:row>10</xdr:row>
      <xdr:rowOff>13606</xdr:rowOff>
    </xdr:from>
    <xdr:to>
      <xdr:col>29</xdr:col>
      <xdr:colOff>507548</xdr:colOff>
      <xdr:row>31</xdr:row>
      <xdr:rowOff>127906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140970</xdr:colOff>
      <xdr:row>32</xdr:row>
      <xdr:rowOff>68034</xdr:rowOff>
    </xdr:from>
    <xdr:to>
      <xdr:col>7</xdr:col>
      <xdr:colOff>452574</xdr:colOff>
      <xdr:row>53</xdr:row>
      <xdr:rowOff>182334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589462</xdr:colOff>
      <xdr:row>32</xdr:row>
      <xdr:rowOff>68034</xdr:rowOff>
    </xdr:from>
    <xdr:to>
      <xdr:col>18</xdr:col>
      <xdr:colOff>234316</xdr:colOff>
      <xdr:row>53</xdr:row>
      <xdr:rowOff>182334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408215</xdr:colOff>
      <xdr:row>32</xdr:row>
      <xdr:rowOff>68034</xdr:rowOff>
    </xdr:from>
    <xdr:to>
      <xdr:col>29</xdr:col>
      <xdr:colOff>542927</xdr:colOff>
      <xdr:row>53</xdr:row>
      <xdr:rowOff>182334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6"/>
  <sheetViews>
    <sheetView zoomScale="70" zoomScaleNormal="70" workbookViewId="0">
      <selection activeCell="N3" sqref="N3:N7"/>
    </sheetView>
  </sheetViews>
  <sheetFormatPr defaultColWidth="9.140625" defaultRowHeight="15"/>
  <cols>
    <col min="1" max="1" width="12.5703125" customWidth="1"/>
    <col min="2" max="2" width="24.5703125" customWidth="1"/>
    <col min="4" max="4" width="24.5703125" customWidth="1"/>
    <col min="9" max="9" width="16.5703125" customWidth="1"/>
  </cols>
  <sheetData>
    <row r="1" spans="1:14">
      <c r="A1" t="s">
        <v>10</v>
      </c>
      <c r="B1" s="2" t="s">
        <v>13</v>
      </c>
      <c r="C1" t="s">
        <v>11</v>
      </c>
      <c r="I1" t="s">
        <v>12</v>
      </c>
      <c r="N1" t="s">
        <v>13</v>
      </c>
    </row>
    <row r="2" spans="1:14">
      <c r="A2" t="s">
        <v>14</v>
      </c>
      <c r="B2" s="2" t="s">
        <v>182</v>
      </c>
      <c r="C2" t="s">
        <v>15</v>
      </c>
      <c r="I2" t="s">
        <v>57</v>
      </c>
      <c r="J2" t="s">
        <v>58</v>
      </c>
      <c r="N2" t="s">
        <v>211</v>
      </c>
    </row>
    <row r="3" spans="1:14">
      <c r="I3" t="s">
        <v>16</v>
      </c>
      <c r="J3" t="s">
        <v>17</v>
      </c>
      <c r="N3" t="s">
        <v>132</v>
      </c>
    </row>
    <row r="4" spans="1:14">
      <c r="A4" t="s">
        <v>18</v>
      </c>
      <c r="B4" s="2" t="s">
        <v>19</v>
      </c>
      <c r="C4" t="s">
        <v>20</v>
      </c>
      <c r="D4" s="2" t="s">
        <v>21</v>
      </c>
      <c r="E4" t="s">
        <v>22</v>
      </c>
      <c r="I4" t="s">
        <v>25</v>
      </c>
      <c r="J4" t="s">
        <v>26</v>
      </c>
      <c r="N4" t="s">
        <v>182</v>
      </c>
    </row>
    <row r="5" spans="1:14">
      <c r="A5" t="s">
        <v>18</v>
      </c>
      <c r="B5" s="2" t="s">
        <v>19</v>
      </c>
      <c r="C5" t="s">
        <v>20</v>
      </c>
      <c r="D5" s="2" t="s">
        <v>23</v>
      </c>
      <c r="E5" t="s">
        <v>24</v>
      </c>
      <c r="I5" t="s">
        <v>28</v>
      </c>
      <c r="J5" t="s">
        <v>29</v>
      </c>
      <c r="N5" t="s">
        <v>134</v>
      </c>
    </row>
    <row r="6" spans="1:14">
      <c r="A6" t="s">
        <v>18</v>
      </c>
      <c r="B6" s="2" t="s">
        <v>19</v>
      </c>
      <c r="C6" t="s">
        <v>20</v>
      </c>
      <c r="D6" s="2" t="s">
        <v>206</v>
      </c>
      <c r="E6" t="s">
        <v>27</v>
      </c>
      <c r="I6" s="48" t="s">
        <v>32</v>
      </c>
      <c r="J6" t="s">
        <v>33</v>
      </c>
      <c r="N6" t="s">
        <v>133</v>
      </c>
    </row>
    <row r="7" spans="1:14">
      <c r="A7" t="s">
        <v>18</v>
      </c>
      <c r="B7" s="2" t="s">
        <v>19</v>
      </c>
      <c r="C7" t="s">
        <v>20</v>
      </c>
      <c r="D7" s="2" t="s">
        <v>30</v>
      </c>
      <c r="E7" t="s">
        <v>31</v>
      </c>
      <c r="I7" t="s">
        <v>36</v>
      </c>
      <c r="J7" t="s">
        <v>37</v>
      </c>
      <c r="N7" t="s">
        <v>131</v>
      </c>
    </row>
    <row r="8" spans="1:14">
      <c r="A8" t="s">
        <v>18</v>
      </c>
      <c r="B8" s="2" t="s">
        <v>19</v>
      </c>
      <c r="C8" t="s">
        <v>20</v>
      </c>
      <c r="D8" s="2" t="s">
        <v>34</v>
      </c>
      <c r="E8" t="s">
        <v>35</v>
      </c>
      <c r="I8" t="s">
        <v>40</v>
      </c>
      <c r="J8" t="s">
        <v>41</v>
      </c>
    </row>
    <row r="9" spans="1:14">
      <c r="A9" t="s">
        <v>18</v>
      </c>
      <c r="B9" s="2" t="s">
        <v>19</v>
      </c>
      <c r="C9" t="s">
        <v>20</v>
      </c>
      <c r="D9" s="2" t="s">
        <v>38</v>
      </c>
      <c r="E9" t="s">
        <v>39</v>
      </c>
      <c r="I9" t="s">
        <v>178</v>
      </c>
      <c r="J9" t="s">
        <v>179</v>
      </c>
    </row>
    <row r="10" spans="1:14">
      <c r="I10" t="s">
        <v>44</v>
      </c>
      <c r="J10" t="s">
        <v>45</v>
      </c>
    </row>
    <row r="11" spans="1:14">
      <c r="I11" t="s">
        <v>46</v>
      </c>
      <c r="J11" t="s">
        <v>47</v>
      </c>
    </row>
    <row r="12" spans="1:14">
      <c r="I12" t="s">
        <v>42</v>
      </c>
      <c r="J12" t="s">
        <v>43</v>
      </c>
    </row>
    <row r="13" spans="1:14">
      <c r="I13" t="s">
        <v>34</v>
      </c>
      <c r="J13" t="s">
        <v>48</v>
      </c>
    </row>
    <row r="14" spans="1:14">
      <c r="I14" t="s">
        <v>38</v>
      </c>
      <c r="J14" t="s">
        <v>49</v>
      </c>
    </row>
    <row r="15" spans="1:14">
      <c r="I15" t="s">
        <v>21</v>
      </c>
      <c r="J15" t="s">
        <v>50</v>
      </c>
    </row>
    <row r="16" spans="1:14">
      <c r="I16" t="s">
        <v>23</v>
      </c>
      <c r="J16" t="s">
        <v>51</v>
      </c>
    </row>
    <row r="17" spans="9:10">
      <c r="I17" t="s">
        <v>30</v>
      </c>
      <c r="J17" t="s">
        <v>52</v>
      </c>
    </row>
    <row r="18" spans="9:10">
      <c r="I18" t="s">
        <v>53</v>
      </c>
      <c r="J18" t="s">
        <v>54</v>
      </c>
    </row>
    <row r="19" spans="9:10">
      <c r="I19" t="s">
        <v>198</v>
      </c>
      <c r="J19" t="s">
        <v>55</v>
      </c>
    </row>
    <row r="20" spans="9:10">
      <c r="I20" t="s">
        <v>186</v>
      </c>
      <c r="J20" t="s">
        <v>56</v>
      </c>
    </row>
    <row r="21" spans="9:10">
      <c r="I21" t="s">
        <v>19</v>
      </c>
      <c r="J21" t="s">
        <v>67</v>
      </c>
    </row>
    <row r="22" spans="9:10">
      <c r="I22" t="s">
        <v>59</v>
      </c>
      <c r="J22" t="s">
        <v>60</v>
      </c>
    </row>
    <row r="23" spans="9:10">
      <c r="I23" t="s">
        <v>61</v>
      </c>
      <c r="J23" t="s">
        <v>62</v>
      </c>
    </row>
    <row r="24" spans="9:10">
      <c r="I24" t="s">
        <v>63</v>
      </c>
      <c r="J24" t="s">
        <v>64</v>
      </c>
    </row>
    <row r="25" spans="9:10">
      <c r="I25" t="s">
        <v>65</v>
      </c>
      <c r="J25" t="s">
        <v>66</v>
      </c>
    </row>
    <row r="26" spans="9:10">
      <c r="I26" t="s">
        <v>206</v>
      </c>
      <c r="J26" t="s">
        <v>207</v>
      </c>
    </row>
  </sheetData>
  <phoneticPr fontId="2" type="noConversion"/>
  <conditionalFormatting sqref="B2">
    <cfRule type="expression" dxfId="4" priority="1">
      <formula>ISNA(MATCH(B2,OFFSET(M:M,2,MATCH(B1,M1:ZZ1,0)-1,COUNTA(INDEX(M:ZZ,,MATCH(B1,M1:ZZ1,0)))-2),0))</formula>
    </cfRule>
  </conditionalFormatting>
  <conditionalFormatting sqref="B4:B9 D4:D9">
    <cfRule type="expression" dxfId="3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61"/>
  <sheetViews>
    <sheetView topLeftCell="A34" workbookViewId="0">
      <selection activeCell="A54" sqref="A54:A58"/>
    </sheetView>
  </sheetViews>
  <sheetFormatPr defaultColWidth="9.140625" defaultRowHeight="15"/>
  <cols>
    <col min="1" max="1" width="35.85546875" bestFit="1" customWidth="1"/>
    <col min="2" max="2" width="25.140625" bestFit="1" customWidth="1"/>
    <col min="3" max="3" width="14.28515625" bestFit="1" customWidth="1"/>
    <col min="4" max="4" width="13.140625" bestFit="1" customWidth="1"/>
    <col min="5" max="5" width="13.7109375" bestFit="1" customWidth="1"/>
    <col min="6" max="6" width="14.140625" bestFit="1" customWidth="1"/>
    <col min="7" max="7" width="14.140625" customWidth="1"/>
    <col min="8" max="9" width="14.140625" bestFit="1" customWidth="1"/>
    <col min="10" max="10" width="14.42578125" bestFit="1" customWidth="1"/>
  </cols>
  <sheetData>
    <row r="1" spans="1:2">
      <c r="A1" t="s">
        <v>85</v>
      </c>
      <c r="B1">
        <v>1</v>
      </c>
    </row>
    <row r="2" spans="1:2">
      <c r="A2" t="s">
        <v>86</v>
      </c>
      <c r="B2">
        <v>2</v>
      </c>
    </row>
    <row r="3" spans="1:2">
      <c r="A3" t="s">
        <v>87</v>
      </c>
      <c r="B3">
        <v>3</v>
      </c>
    </row>
    <row r="4" spans="1:2">
      <c r="A4" t="s">
        <v>176</v>
      </c>
      <c r="B4">
        <v>4</v>
      </c>
    </row>
    <row r="5" spans="1:2">
      <c r="A5" t="s">
        <v>88</v>
      </c>
      <c r="B5">
        <v>5</v>
      </c>
    </row>
    <row r="6" spans="1:2">
      <c r="A6" t="s">
        <v>89</v>
      </c>
      <c r="B6">
        <v>6</v>
      </c>
    </row>
    <row r="7" spans="1:2">
      <c r="A7" t="s">
        <v>90</v>
      </c>
      <c r="B7">
        <v>7</v>
      </c>
    </row>
    <row r="8" spans="1:2">
      <c r="A8" t="s">
        <v>91</v>
      </c>
      <c r="B8">
        <v>9</v>
      </c>
    </row>
    <row r="9" spans="1:2">
      <c r="A9" t="s">
        <v>187</v>
      </c>
      <c r="B9">
        <v>10</v>
      </c>
    </row>
    <row r="10" spans="1:2">
      <c r="A10" t="s">
        <v>129</v>
      </c>
      <c r="B10">
        <v>11</v>
      </c>
    </row>
    <row r="11" spans="1:2">
      <c r="A11" t="s">
        <v>180</v>
      </c>
      <c r="B11">
        <v>15</v>
      </c>
    </row>
    <row r="12" spans="1:2">
      <c r="A12" t="s">
        <v>92</v>
      </c>
      <c r="B12">
        <v>18</v>
      </c>
    </row>
    <row r="13" spans="1:2">
      <c r="A13" t="s">
        <v>188</v>
      </c>
      <c r="B13">
        <v>19</v>
      </c>
    </row>
    <row r="14" spans="1:2">
      <c r="A14" t="s">
        <v>189</v>
      </c>
      <c r="B14">
        <v>20</v>
      </c>
    </row>
    <row r="15" spans="1:2">
      <c r="A15" t="s">
        <v>93</v>
      </c>
      <c r="B15">
        <v>21</v>
      </c>
    </row>
    <row r="16" spans="1:2">
      <c r="A16" t="s">
        <v>190</v>
      </c>
      <c r="B16">
        <v>14</v>
      </c>
    </row>
    <row r="17" spans="1:2">
      <c r="A17" t="s">
        <v>94</v>
      </c>
      <c r="B17">
        <v>22</v>
      </c>
    </row>
    <row r="18" spans="1:2">
      <c r="A18" t="s">
        <v>95</v>
      </c>
      <c r="B18">
        <v>23</v>
      </c>
    </row>
    <row r="19" spans="1:2">
      <c r="A19" t="s">
        <v>96</v>
      </c>
      <c r="B19">
        <v>24</v>
      </c>
    </row>
    <row r="20" spans="1:2">
      <c r="A20" t="s">
        <v>97</v>
      </c>
      <c r="B20">
        <v>25</v>
      </c>
    </row>
    <row r="21" spans="1:2">
      <c r="A21" t="s">
        <v>98</v>
      </c>
      <c r="B21">
        <v>26</v>
      </c>
    </row>
    <row r="22" spans="1:2">
      <c r="A22" t="s">
        <v>209</v>
      </c>
      <c r="B22">
        <v>27</v>
      </c>
    </row>
    <row r="23" spans="1:2">
      <c r="A23" t="s">
        <v>191</v>
      </c>
      <c r="B23">
        <v>28</v>
      </c>
    </row>
    <row r="24" spans="1:2">
      <c r="A24" t="s">
        <v>192</v>
      </c>
      <c r="B24">
        <v>29</v>
      </c>
    </row>
    <row r="25" spans="1:2">
      <c r="A25" t="s">
        <v>193</v>
      </c>
      <c r="B25">
        <v>30</v>
      </c>
    </row>
    <row r="26" spans="1:2">
      <c r="A26" t="s">
        <v>194</v>
      </c>
      <c r="B26">
        <v>31</v>
      </c>
    </row>
    <row r="27" spans="1:2">
      <c r="A27" t="s">
        <v>99</v>
      </c>
      <c r="B27">
        <v>33</v>
      </c>
    </row>
    <row r="28" spans="1:2">
      <c r="A28" t="s">
        <v>195</v>
      </c>
      <c r="B28">
        <v>34</v>
      </c>
    </row>
    <row r="29" spans="1:2">
      <c r="A29" t="s">
        <v>130</v>
      </c>
      <c r="B29">
        <v>35</v>
      </c>
    </row>
    <row r="30" spans="1:2">
      <c r="A30" t="s">
        <v>184</v>
      </c>
      <c r="B30">
        <v>39</v>
      </c>
    </row>
    <row r="31" spans="1:2">
      <c r="A31" t="s">
        <v>100</v>
      </c>
      <c r="B31">
        <v>42</v>
      </c>
    </row>
    <row r="32" spans="1:2">
      <c r="A32" t="s">
        <v>199</v>
      </c>
      <c r="B32">
        <v>43</v>
      </c>
    </row>
    <row r="33" spans="1:2">
      <c r="A33" t="s">
        <v>200</v>
      </c>
      <c r="B33">
        <v>44</v>
      </c>
    </row>
    <row r="34" spans="1:2">
      <c r="A34" t="s">
        <v>101</v>
      </c>
      <c r="B34">
        <v>45</v>
      </c>
    </row>
    <row r="35" spans="1:2">
      <c r="A35" t="s">
        <v>201</v>
      </c>
      <c r="B35">
        <v>38</v>
      </c>
    </row>
    <row r="36" spans="1:2">
      <c r="A36" t="s">
        <v>102</v>
      </c>
      <c r="B36">
        <v>46</v>
      </c>
    </row>
    <row r="37" spans="1:2">
      <c r="A37" t="s">
        <v>103</v>
      </c>
      <c r="B37">
        <v>47</v>
      </c>
    </row>
    <row r="38" spans="1:2">
      <c r="A38" t="s">
        <v>104</v>
      </c>
      <c r="B38">
        <v>48</v>
      </c>
    </row>
    <row r="39" spans="1:2">
      <c r="A39" t="s">
        <v>105</v>
      </c>
      <c r="B39">
        <v>49</v>
      </c>
    </row>
    <row r="40" spans="1:2">
      <c r="A40" t="s">
        <v>106</v>
      </c>
      <c r="B40">
        <v>50</v>
      </c>
    </row>
    <row r="41" spans="1:2">
      <c r="A41" t="s">
        <v>208</v>
      </c>
      <c r="B41">
        <v>51</v>
      </c>
    </row>
    <row r="42" spans="1:2">
      <c r="A42" t="s">
        <v>202</v>
      </c>
      <c r="B42">
        <v>52</v>
      </c>
    </row>
    <row r="43" spans="1:2">
      <c r="A43" t="s">
        <v>203</v>
      </c>
      <c r="B43">
        <v>53</v>
      </c>
    </row>
    <row r="44" spans="1:2">
      <c r="A44" t="s">
        <v>204</v>
      </c>
      <c r="B44">
        <v>54</v>
      </c>
    </row>
    <row r="45" spans="1:2">
      <c r="A45" t="s">
        <v>205</v>
      </c>
      <c r="B45">
        <v>55</v>
      </c>
    </row>
    <row r="46" spans="1:2">
      <c r="A46" t="s">
        <v>107</v>
      </c>
      <c r="B46">
        <v>57</v>
      </c>
    </row>
    <row r="47" spans="1:2">
      <c r="A47" t="s">
        <v>108</v>
      </c>
      <c r="B47">
        <v>58</v>
      </c>
    </row>
    <row r="48" spans="1:2">
      <c r="A48" t="s">
        <v>109</v>
      </c>
      <c r="B48">
        <v>59</v>
      </c>
    </row>
    <row r="49" spans="1:11">
      <c r="A49" t="s">
        <v>110</v>
      </c>
      <c r="B49">
        <v>60</v>
      </c>
    </row>
    <row r="50" spans="1:11">
      <c r="A50" t="s">
        <v>111</v>
      </c>
      <c r="B50">
        <v>61</v>
      </c>
    </row>
    <row r="51" spans="1:11">
      <c r="A51" t="s">
        <v>177</v>
      </c>
      <c r="B51">
        <v>62</v>
      </c>
    </row>
    <row r="52" spans="1:11">
      <c r="A52" t="s">
        <v>112</v>
      </c>
      <c r="B52" t="s">
        <v>196</v>
      </c>
    </row>
    <row r="53" spans="1:11">
      <c r="A53" t="s">
        <v>113</v>
      </c>
      <c r="B53" t="s">
        <v>197</v>
      </c>
    </row>
    <row r="54" spans="1:11">
      <c r="A54" t="s">
        <v>136</v>
      </c>
      <c r="B54" t="s">
        <v>124</v>
      </c>
    </row>
    <row r="55" spans="1:11">
      <c r="A55" t="s">
        <v>183</v>
      </c>
      <c r="B55" t="s">
        <v>125</v>
      </c>
    </row>
    <row r="56" spans="1:11">
      <c r="A56" t="s">
        <v>138</v>
      </c>
      <c r="B56" t="s">
        <v>126</v>
      </c>
    </row>
    <row r="57" spans="1:11">
      <c r="A57" t="s">
        <v>137</v>
      </c>
      <c r="B57" t="s">
        <v>127</v>
      </c>
    </row>
    <row r="58" spans="1:11">
      <c r="A58" t="s">
        <v>135</v>
      </c>
      <c r="B58" t="s">
        <v>128</v>
      </c>
    </row>
    <row r="59" spans="1:11">
      <c r="A59" t="s">
        <v>114</v>
      </c>
      <c r="B59" t="s">
        <v>21</v>
      </c>
      <c r="C59" t="s">
        <v>23</v>
      </c>
      <c r="D59" t="s">
        <v>30</v>
      </c>
      <c r="E59" t="s">
        <v>38</v>
      </c>
      <c r="F59" t="s">
        <v>34</v>
      </c>
      <c r="G59" t="s">
        <v>206</v>
      </c>
      <c r="H59" t="s">
        <v>185</v>
      </c>
      <c r="I59" t="s">
        <v>186</v>
      </c>
      <c r="J59" t="s">
        <v>44</v>
      </c>
      <c r="K59" t="s">
        <v>19</v>
      </c>
    </row>
    <row r="61" spans="1:11">
      <c r="B61" s="4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K78"/>
  <sheetViews>
    <sheetView tabSelected="1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13" sqref="E13"/>
    </sheetView>
  </sheetViews>
  <sheetFormatPr defaultColWidth="9.140625" defaultRowHeight="15" outlineLevelRow="1"/>
  <cols>
    <col min="2" max="2" width="24.5703125" customWidth="1"/>
    <col min="4" max="5" width="10.5703125" customWidth="1"/>
    <col min="8" max="8" width="1.5703125" customWidth="1"/>
    <col min="10" max="10" width="12.42578125" bestFit="1" customWidth="1"/>
    <col min="11" max="12" width="12.42578125" customWidth="1"/>
    <col min="13" max="13" width="10.5703125" customWidth="1"/>
    <col min="14" max="18" width="12.5703125" customWidth="1"/>
    <col min="19" max="25" width="11.5703125" customWidth="1"/>
    <col min="32" max="32" width="1.5703125" customWidth="1"/>
  </cols>
  <sheetData>
    <row r="1" spans="1:31" ht="15" customHeight="1">
      <c r="A1" s="54" t="s">
        <v>122</v>
      </c>
      <c r="B1" s="50"/>
      <c r="C1" s="50"/>
      <c r="D1" s="50"/>
      <c r="E1" s="50"/>
      <c r="F1" s="50"/>
      <c r="G1" s="50"/>
      <c r="I1" s="55" t="s">
        <v>210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</row>
    <row r="2" spans="1:31" ht="33" customHeight="1" thickBot="1">
      <c r="A2" s="51" t="s">
        <v>68</v>
      </c>
      <c r="B2" s="53" t="s">
        <v>69</v>
      </c>
      <c r="C2" s="51" t="s">
        <v>115</v>
      </c>
      <c r="D2" s="53" t="s">
        <v>139</v>
      </c>
      <c r="E2" s="51" t="s">
        <v>70</v>
      </c>
      <c r="F2" s="53" t="s">
        <v>71</v>
      </c>
      <c r="G2" s="51" t="s">
        <v>72</v>
      </c>
      <c r="I2" s="53" t="s">
        <v>67</v>
      </c>
      <c r="J2" s="56" t="s">
        <v>140</v>
      </c>
      <c r="K2" s="50"/>
      <c r="L2" s="50"/>
      <c r="M2" s="50"/>
      <c r="N2" s="53" t="s">
        <v>123</v>
      </c>
      <c r="O2" s="51" t="s">
        <v>45</v>
      </c>
      <c r="P2" s="53" t="s">
        <v>47</v>
      </c>
      <c r="Q2" s="51" t="s">
        <v>43</v>
      </c>
      <c r="R2" s="49" t="s">
        <v>141</v>
      </c>
      <c r="S2" s="50"/>
      <c r="T2" s="50"/>
      <c r="U2" s="50"/>
      <c r="V2" s="56" t="s">
        <v>142</v>
      </c>
      <c r="W2" s="50"/>
      <c r="X2" s="49" t="s">
        <v>143</v>
      </c>
      <c r="Y2" s="50"/>
      <c r="Z2" s="50"/>
      <c r="AA2" s="39" t="s">
        <v>144</v>
      </c>
      <c r="AB2" s="49" t="s">
        <v>145</v>
      </c>
      <c r="AC2" s="50"/>
      <c r="AD2" s="56" t="s">
        <v>146</v>
      </c>
      <c r="AE2" s="56"/>
    </row>
    <row r="3" spans="1:31" ht="33" customHeight="1" thickBot="1">
      <c r="A3" s="52"/>
      <c r="B3" s="52"/>
      <c r="C3" s="52"/>
      <c r="D3" s="52"/>
      <c r="E3" s="52"/>
      <c r="F3" s="52"/>
      <c r="G3" s="52"/>
      <c r="I3" s="52"/>
      <c r="J3" s="3" t="s">
        <v>0</v>
      </c>
      <c r="K3" s="3" t="s">
        <v>147</v>
      </c>
      <c r="L3" s="3" t="s">
        <v>148</v>
      </c>
      <c r="M3" s="3" t="s">
        <v>149</v>
      </c>
      <c r="N3" s="52"/>
      <c r="O3" s="52"/>
      <c r="P3" s="52"/>
      <c r="Q3" s="52"/>
      <c r="R3" s="4" t="s">
        <v>0</v>
      </c>
      <c r="S3" s="4" t="s">
        <v>148</v>
      </c>
      <c r="T3" s="4" t="s">
        <v>150</v>
      </c>
      <c r="U3" s="4" t="s">
        <v>151</v>
      </c>
      <c r="V3" s="3" t="s">
        <v>5</v>
      </c>
      <c r="W3" s="3" t="s">
        <v>6</v>
      </c>
      <c r="X3" s="4" t="s">
        <v>7</v>
      </c>
      <c r="Y3" s="4" t="s">
        <v>8</v>
      </c>
      <c r="Z3" s="4" t="s">
        <v>9</v>
      </c>
      <c r="AA3" s="38" t="s">
        <v>181</v>
      </c>
      <c r="AB3" s="4" t="s">
        <v>152</v>
      </c>
      <c r="AC3" s="4" t="s">
        <v>153</v>
      </c>
      <c r="AD3" s="3" t="s">
        <v>152</v>
      </c>
      <c r="AE3" s="3" t="s">
        <v>153</v>
      </c>
    </row>
    <row r="4" spans="1:31" ht="54" hidden="1" customHeight="1" thickBot="1">
      <c r="A4" s="5" t="s">
        <v>73</v>
      </c>
      <c r="B4" s="6" t="s">
        <v>74</v>
      </c>
      <c r="C4" s="5" t="s">
        <v>116</v>
      </c>
      <c r="D4" s="6" t="s">
        <v>75</v>
      </c>
      <c r="E4" s="5" t="s">
        <v>76</v>
      </c>
      <c r="F4" s="6" t="s">
        <v>77</v>
      </c>
      <c r="G4" s="5" t="s">
        <v>78</v>
      </c>
      <c r="I4" s="6" t="s">
        <v>154</v>
      </c>
      <c r="J4" s="5" t="s">
        <v>155</v>
      </c>
      <c r="K4" s="5" t="s">
        <v>156</v>
      </c>
      <c r="L4" s="5" t="s">
        <v>157</v>
      </c>
      <c r="M4" s="5" t="s">
        <v>158</v>
      </c>
      <c r="N4" s="5" t="s">
        <v>159</v>
      </c>
      <c r="O4" s="5" t="s">
        <v>160</v>
      </c>
      <c r="P4" s="6" t="s">
        <v>161</v>
      </c>
      <c r="Q4" s="5" t="s">
        <v>162</v>
      </c>
      <c r="R4" s="6" t="s">
        <v>163</v>
      </c>
      <c r="S4" s="6" t="s">
        <v>164</v>
      </c>
      <c r="T4" s="6" t="s">
        <v>165</v>
      </c>
      <c r="U4" s="6" t="s">
        <v>166</v>
      </c>
      <c r="V4" s="5" t="s">
        <v>167</v>
      </c>
      <c r="W4" s="5" t="s">
        <v>168</v>
      </c>
      <c r="X4" s="6" t="s">
        <v>169</v>
      </c>
      <c r="Y4" s="6" t="s">
        <v>170</v>
      </c>
      <c r="Z4" s="6" t="s">
        <v>171</v>
      </c>
      <c r="AA4" s="6"/>
      <c r="AB4" s="5" t="s">
        <v>172</v>
      </c>
      <c r="AC4" s="5" t="s">
        <v>173</v>
      </c>
      <c r="AD4" s="6" t="s">
        <v>174</v>
      </c>
      <c r="AE4" s="6" t="s">
        <v>175</v>
      </c>
    </row>
    <row r="5" spans="1:31" ht="15" customHeight="1">
      <c r="A5" s="7" t="s">
        <v>79</v>
      </c>
      <c r="B5" s="7" t="s">
        <v>132</v>
      </c>
      <c r="C5" s="8" t="s">
        <v>117</v>
      </c>
      <c r="D5" s="8">
        <v>447036817</v>
      </c>
      <c r="E5" s="8">
        <v>11</v>
      </c>
      <c r="F5" s="8">
        <v>250</v>
      </c>
      <c r="G5" s="8">
        <v>25</v>
      </c>
      <c r="I5" s="9" t="str">
        <f t="shared" ref="I5:I29" si="0">IF(OR(ISBLANK(R5),ISBLANK(G5)),"·",R5*G5/F5/1000000)</f>
        <v>·</v>
      </c>
      <c r="J5" s="10" t="str">
        <f t="shared" ref="J5:J29" si="1">IF(ISBLANK(R5),"·",R5/D5)</f>
        <v>·</v>
      </c>
      <c r="K5" s="10" t="str">
        <f t="shared" ref="K5:K29" si="2">IF(N5="","·",N5/D5)</f>
        <v>·</v>
      </c>
      <c r="L5" s="10" t="str">
        <f t="shared" ref="L5:L29" si="3">IF(S5="","·",S5/D5)</f>
        <v>·</v>
      </c>
      <c r="M5" s="10" t="str">
        <f t="shared" ref="M5:M29" si="4">IF(ISBLANK(U5),"·",U5/D5)</f>
        <v>·</v>
      </c>
      <c r="N5" s="7" t="str">
        <f t="shared" ref="N5" si="5">IF(OR(ISBLANK(S5),ISBLANK(T5)),"",S5+T5)</f>
        <v/>
      </c>
      <c r="O5" s="25"/>
      <c r="P5" s="25"/>
      <c r="Q5" s="43"/>
      <c r="R5" s="44"/>
      <c r="S5" s="44"/>
      <c r="T5" s="44"/>
      <c r="U5" s="44"/>
      <c r="V5" s="26"/>
      <c r="W5" s="26"/>
      <c r="X5" s="26"/>
      <c r="Y5" s="26"/>
      <c r="Z5" s="26"/>
      <c r="AA5" s="26"/>
      <c r="AB5" s="11"/>
      <c r="AC5" s="11"/>
      <c r="AD5" s="11"/>
      <c r="AE5" s="11"/>
    </row>
    <row r="6" spans="1:31" ht="15" customHeight="1" outlineLevel="1">
      <c r="A6" s="17"/>
      <c r="B6" s="17" t="s">
        <v>132</v>
      </c>
      <c r="C6" s="18" t="s">
        <v>118</v>
      </c>
      <c r="D6" s="18">
        <v>447036817</v>
      </c>
      <c r="E6" s="18">
        <v>11</v>
      </c>
      <c r="F6" s="18">
        <v>250</v>
      </c>
      <c r="G6" s="18">
        <v>25</v>
      </c>
      <c r="I6" s="19" t="str">
        <f t="shared" si="0"/>
        <v>·</v>
      </c>
      <c r="J6" s="20" t="str">
        <f t="shared" si="1"/>
        <v>·</v>
      </c>
      <c r="K6" s="20" t="str">
        <f t="shared" si="2"/>
        <v>·</v>
      </c>
      <c r="L6" s="20" t="str">
        <f t="shared" si="3"/>
        <v>·</v>
      </c>
      <c r="M6" s="20" t="str">
        <f t="shared" si="4"/>
        <v>·</v>
      </c>
      <c r="N6" s="17" t="str">
        <f t="shared" ref="N6:N29" si="6">IF(OR(ISBLANK(S6),ISBLANK(T6)),"",S6+T6)</f>
        <v/>
      </c>
      <c r="O6" s="27"/>
      <c r="P6" s="27"/>
      <c r="Q6" s="27"/>
      <c r="R6" s="45"/>
      <c r="S6" s="45"/>
      <c r="T6" s="45"/>
      <c r="U6" s="45"/>
      <c r="V6" s="28"/>
      <c r="W6" s="28"/>
      <c r="X6" s="28"/>
      <c r="Y6" s="28"/>
      <c r="Z6" s="28"/>
      <c r="AA6" s="28"/>
      <c r="AB6" s="21"/>
      <c r="AC6" s="21"/>
      <c r="AD6" s="21"/>
      <c r="AE6" s="21"/>
    </row>
    <row r="7" spans="1:31" ht="15" customHeight="1" outlineLevel="1">
      <c r="A7" s="7"/>
      <c r="B7" s="7" t="s">
        <v>132</v>
      </c>
      <c r="C7" s="8" t="s">
        <v>119</v>
      </c>
      <c r="D7" s="8">
        <v>447036817</v>
      </c>
      <c r="E7" s="8">
        <v>11</v>
      </c>
      <c r="F7" s="8">
        <v>250</v>
      </c>
      <c r="G7" s="8">
        <v>25</v>
      </c>
      <c r="I7" s="9" t="str">
        <f t="shared" si="0"/>
        <v>·</v>
      </c>
      <c r="J7" s="10" t="str">
        <f t="shared" si="1"/>
        <v>·</v>
      </c>
      <c r="K7" s="10" t="str">
        <f t="shared" si="2"/>
        <v>·</v>
      </c>
      <c r="L7" s="10" t="str">
        <f t="shared" si="3"/>
        <v>·</v>
      </c>
      <c r="M7" s="10" t="str">
        <f t="shared" si="4"/>
        <v>·</v>
      </c>
      <c r="N7" s="7" t="str">
        <f t="shared" si="6"/>
        <v/>
      </c>
      <c r="O7" s="25"/>
      <c r="P7" s="25"/>
      <c r="Q7" s="25"/>
      <c r="R7" s="44"/>
      <c r="S7" s="44"/>
      <c r="T7" s="44"/>
      <c r="U7" s="44"/>
      <c r="V7" s="26"/>
      <c r="W7" s="26"/>
      <c r="X7" s="26"/>
      <c r="Y7" s="26"/>
      <c r="Z7" s="26"/>
      <c r="AA7" s="26"/>
      <c r="AB7" s="11"/>
      <c r="AC7" s="11"/>
      <c r="AD7" s="11"/>
      <c r="AE7" s="11"/>
    </row>
    <row r="8" spans="1:31" ht="15" customHeight="1" outlineLevel="1">
      <c r="A8" s="17"/>
      <c r="B8" s="17" t="s">
        <v>132</v>
      </c>
      <c r="C8" s="18" t="s">
        <v>120</v>
      </c>
      <c r="D8" s="18">
        <v>447036817</v>
      </c>
      <c r="E8" s="18">
        <v>11</v>
      </c>
      <c r="F8" s="18">
        <v>250</v>
      </c>
      <c r="G8" s="18">
        <v>25</v>
      </c>
      <c r="I8" s="19" t="str">
        <f t="shared" si="0"/>
        <v>·</v>
      </c>
      <c r="J8" s="20" t="str">
        <f t="shared" si="1"/>
        <v>·</v>
      </c>
      <c r="K8" s="20" t="str">
        <f t="shared" si="2"/>
        <v>·</v>
      </c>
      <c r="L8" s="20" t="str">
        <f t="shared" si="3"/>
        <v>·</v>
      </c>
      <c r="M8" s="20" t="str">
        <f t="shared" si="4"/>
        <v>·</v>
      </c>
      <c r="N8" s="17" t="str">
        <f t="shared" si="6"/>
        <v/>
      </c>
      <c r="O8" s="27"/>
      <c r="P8" s="27"/>
      <c r="Q8" s="27"/>
      <c r="R8" s="45"/>
      <c r="S8" s="45"/>
      <c r="T8" s="45"/>
      <c r="U8" s="45"/>
      <c r="V8" s="28"/>
      <c r="W8" s="28"/>
      <c r="X8" s="28"/>
      <c r="Y8" s="28"/>
      <c r="Z8" s="28"/>
      <c r="AA8" s="28"/>
      <c r="AB8" s="21"/>
      <c r="AC8" s="21"/>
      <c r="AD8" s="21"/>
      <c r="AE8" s="21"/>
    </row>
    <row r="9" spans="1:31" ht="15.75" customHeight="1" outlineLevel="1" thickBot="1">
      <c r="A9" s="7"/>
      <c r="B9" s="29" t="s">
        <v>132</v>
      </c>
      <c r="C9" s="30" t="s">
        <v>121</v>
      </c>
      <c r="D9" s="30">
        <v>447036817</v>
      </c>
      <c r="E9" s="30">
        <v>11</v>
      </c>
      <c r="F9" s="30">
        <v>250</v>
      </c>
      <c r="G9" s="30">
        <v>25</v>
      </c>
      <c r="I9" s="31" t="str">
        <f t="shared" si="0"/>
        <v>·</v>
      </c>
      <c r="J9" s="32" t="str">
        <f t="shared" si="1"/>
        <v>·</v>
      </c>
      <c r="K9" s="32" t="str">
        <f t="shared" si="2"/>
        <v>·</v>
      </c>
      <c r="L9" s="32" t="str">
        <f t="shared" si="3"/>
        <v>·</v>
      </c>
      <c r="M9" s="32" t="str">
        <f t="shared" si="4"/>
        <v>·</v>
      </c>
      <c r="N9" s="29" t="str">
        <f t="shared" si="6"/>
        <v/>
      </c>
      <c r="O9" s="33"/>
      <c r="P9" s="33"/>
      <c r="Q9" s="33"/>
      <c r="R9" s="46"/>
      <c r="S9" s="46"/>
      <c r="T9" s="46"/>
      <c r="U9" s="46"/>
      <c r="V9" s="34"/>
      <c r="W9" s="34"/>
      <c r="X9" s="34"/>
      <c r="Y9" s="34"/>
      <c r="Z9" s="34"/>
      <c r="AA9" s="34"/>
      <c r="AB9" s="35"/>
      <c r="AC9" s="35"/>
      <c r="AD9" s="35"/>
      <c r="AE9" s="35"/>
    </row>
    <row r="10" spans="1:31" ht="15" customHeight="1">
      <c r="A10" s="17"/>
      <c r="B10" s="17" t="s">
        <v>182</v>
      </c>
      <c r="C10" s="18" t="s">
        <v>117</v>
      </c>
      <c r="D10" s="18">
        <v>235454598</v>
      </c>
      <c r="E10" s="18">
        <v>11</v>
      </c>
      <c r="F10" s="18">
        <v>125</v>
      </c>
      <c r="G10" s="18">
        <v>25</v>
      </c>
      <c r="I10" s="19" t="str">
        <f t="shared" si="0"/>
        <v>·</v>
      </c>
      <c r="J10" s="20" t="str">
        <f t="shared" si="1"/>
        <v>·</v>
      </c>
      <c r="K10" s="20" t="str">
        <f t="shared" si="2"/>
        <v>·</v>
      </c>
      <c r="L10" s="20" t="str">
        <f t="shared" si="3"/>
        <v>·</v>
      </c>
      <c r="M10" s="20" t="str">
        <f t="shared" si="4"/>
        <v>·</v>
      </c>
      <c r="N10" s="17" t="str">
        <f t="shared" si="6"/>
        <v/>
      </c>
      <c r="O10" s="27"/>
      <c r="P10" s="27"/>
      <c r="Q10" s="27"/>
      <c r="R10" s="45"/>
      <c r="S10" s="45"/>
      <c r="T10" s="45"/>
      <c r="U10" s="45"/>
      <c r="V10" s="28"/>
      <c r="W10" s="28"/>
      <c r="X10" s="28"/>
      <c r="Y10" s="28"/>
      <c r="Z10" s="28"/>
      <c r="AA10" s="28"/>
      <c r="AB10" s="21"/>
      <c r="AC10" s="21"/>
      <c r="AD10" s="21"/>
      <c r="AE10" s="21"/>
    </row>
    <row r="11" spans="1:31" ht="15" customHeight="1" outlineLevel="1">
      <c r="A11" s="7"/>
      <c r="B11" s="7" t="s">
        <v>182</v>
      </c>
      <c r="C11" s="8" t="s">
        <v>118</v>
      </c>
      <c r="D11" s="8">
        <v>235454598</v>
      </c>
      <c r="E11" s="8">
        <v>11</v>
      </c>
      <c r="F11" s="8">
        <v>125</v>
      </c>
      <c r="G11" s="8">
        <v>25</v>
      </c>
      <c r="I11" s="9" t="str">
        <f t="shared" si="0"/>
        <v>·</v>
      </c>
      <c r="J11" s="10" t="str">
        <f t="shared" si="1"/>
        <v>·</v>
      </c>
      <c r="K11" s="10" t="str">
        <f t="shared" si="2"/>
        <v>·</v>
      </c>
      <c r="L11" s="10" t="str">
        <f t="shared" si="3"/>
        <v>·</v>
      </c>
      <c r="M11" s="10" t="str">
        <f t="shared" si="4"/>
        <v>·</v>
      </c>
      <c r="N11" s="7" t="str">
        <f t="shared" si="6"/>
        <v/>
      </c>
      <c r="O11" s="25"/>
      <c r="P11" s="25"/>
      <c r="Q11" s="25"/>
      <c r="R11" s="44"/>
      <c r="S11" s="44"/>
      <c r="T11" s="44"/>
      <c r="U11" s="44"/>
      <c r="V11" s="26"/>
      <c r="W11" s="26"/>
      <c r="X11" s="26"/>
      <c r="Y11" s="26"/>
      <c r="Z11" s="26"/>
      <c r="AA11" s="26"/>
      <c r="AB11" s="11"/>
      <c r="AC11" s="11"/>
      <c r="AD11" s="11"/>
      <c r="AE11" s="11"/>
    </row>
    <row r="12" spans="1:31" ht="15" customHeight="1" outlineLevel="1">
      <c r="A12" s="17"/>
      <c r="B12" s="17" t="s">
        <v>182</v>
      </c>
      <c r="C12" s="18" t="s">
        <v>119</v>
      </c>
      <c r="D12" s="18">
        <v>235454598</v>
      </c>
      <c r="E12" s="18">
        <v>11</v>
      </c>
      <c r="F12" s="18">
        <v>125</v>
      </c>
      <c r="G12" s="18">
        <v>25</v>
      </c>
      <c r="I12" s="19" t="str">
        <f t="shared" si="0"/>
        <v>·</v>
      </c>
      <c r="J12" s="20" t="str">
        <f t="shared" si="1"/>
        <v>·</v>
      </c>
      <c r="K12" s="20" t="str">
        <f t="shared" si="2"/>
        <v>·</v>
      </c>
      <c r="L12" s="20" t="str">
        <f t="shared" si="3"/>
        <v>·</v>
      </c>
      <c r="M12" s="20" t="str">
        <f t="shared" si="4"/>
        <v>·</v>
      </c>
      <c r="N12" s="17" t="str">
        <f t="shared" si="6"/>
        <v/>
      </c>
      <c r="O12" s="27"/>
      <c r="P12" s="27"/>
      <c r="Q12" s="27"/>
      <c r="R12" s="45"/>
      <c r="S12" s="45"/>
      <c r="T12" s="45"/>
      <c r="U12" s="45"/>
      <c r="V12" s="28"/>
      <c r="W12" s="28"/>
      <c r="X12" s="28"/>
      <c r="Y12" s="28"/>
      <c r="Z12" s="28"/>
      <c r="AA12" s="28"/>
      <c r="AB12" s="21"/>
      <c r="AC12" s="21"/>
      <c r="AD12" s="21"/>
      <c r="AE12" s="21"/>
    </row>
    <row r="13" spans="1:31" ht="15" customHeight="1" outlineLevel="1">
      <c r="A13" s="7"/>
      <c r="B13" s="7" t="s">
        <v>182</v>
      </c>
      <c r="C13" s="8" t="s">
        <v>120</v>
      </c>
      <c r="D13" s="8">
        <v>235454598</v>
      </c>
      <c r="E13" s="8">
        <v>11</v>
      </c>
      <c r="F13" s="8">
        <v>125</v>
      </c>
      <c r="G13" s="8">
        <v>25</v>
      </c>
      <c r="I13" s="9" t="str">
        <f t="shared" si="0"/>
        <v>·</v>
      </c>
      <c r="J13" s="10" t="str">
        <f t="shared" si="1"/>
        <v>·</v>
      </c>
      <c r="K13" s="10" t="str">
        <f t="shared" si="2"/>
        <v>·</v>
      </c>
      <c r="L13" s="10" t="str">
        <f t="shared" si="3"/>
        <v>·</v>
      </c>
      <c r="M13" s="10" t="str">
        <f t="shared" si="4"/>
        <v>·</v>
      </c>
      <c r="N13" s="7" t="str">
        <f t="shared" si="6"/>
        <v/>
      </c>
      <c r="O13" s="25"/>
      <c r="P13" s="25"/>
      <c r="Q13" s="25"/>
      <c r="R13" s="44"/>
      <c r="S13" s="44"/>
      <c r="T13" s="44"/>
      <c r="U13" s="44"/>
      <c r="V13" s="26"/>
      <c r="W13" s="26"/>
      <c r="X13" s="26"/>
      <c r="Y13" s="26"/>
      <c r="Z13" s="26"/>
      <c r="AA13" s="26"/>
      <c r="AB13" s="11"/>
      <c r="AC13" s="11"/>
      <c r="AD13" s="11"/>
      <c r="AE13" s="11"/>
    </row>
    <row r="14" spans="1:31" ht="15.75" customHeight="1" outlineLevel="1" thickBot="1">
      <c r="A14" s="12"/>
      <c r="B14" s="12" t="s">
        <v>182</v>
      </c>
      <c r="C14" s="13" t="s">
        <v>121</v>
      </c>
      <c r="D14" s="13">
        <v>235454598</v>
      </c>
      <c r="E14" s="13">
        <v>11</v>
      </c>
      <c r="F14" s="13">
        <v>125</v>
      </c>
      <c r="G14" s="13">
        <v>25</v>
      </c>
      <c r="I14" s="14" t="str">
        <f t="shared" si="0"/>
        <v>·</v>
      </c>
      <c r="J14" s="15" t="str">
        <f t="shared" si="1"/>
        <v>·</v>
      </c>
      <c r="K14" s="15" t="str">
        <f t="shared" si="2"/>
        <v>·</v>
      </c>
      <c r="L14" s="15" t="str">
        <f t="shared" si="3"/>
        <v>·</v>
      </c>
      <c r="M14" s="15" t="str">
        <f t="shared" si="4"/>
        <v>·</v>
      </c>
      <c r="N14" s="12" t="str">
        <f t="shared" si="6"/>
        <v/>
      </c>
      <c r="O14" s="36"/>
      <c r="P14" s="36"/>
      <c r="Q14" s="36"/>
      <c r="R14" s="47"/>
      <c r="S14" s="47"/>
      <c r="T14" s="47"/>
      <c r="U14" s="47"/>
      <c r="V14" s="37"/>
      <c r="W14" s="37"/>
      <c r="X14" s="37"/>
      <c r="Y14" s="37"/>
      <c r="Z14" s="37"/>
      <c r="AA14" s="37"/>
      <c r="AB14" s="16"/>
      <c r="AC14" s="16"/>
      <c r="AD14" s="16"/>
      <c r="AE14" s="16"/>
    </row>
    <row r="15" spans="1:31" ht="15" customHeight="1">
      <c r="A15" s="7" t="s">
        <v>80</v>
      </c>
      <c r="B15" s="7" t="s">
        <v>134</v>
      </c>
      <c r="C15" s="8" t="s">
        <v>117</v>
      </c>
      <c r="D15" s="8">
        <v>545656952</v>
      </c>
      <c r="E15" s="8">
        <v>11</v>
      </c>
      <c r="F15" s="8">
        <v>300</v>
      </c>
      <c r="G15" s="8">
        <v>30</v>
      </c>
      <c r="I15" s="9" t="str">
        <f t="shared" si="0"/>
        <v>·</v>
      </c>
      <c r="J15" s="10" t="str">
        <f t="shared" si="1"/>
        <v>·</v>
      </c>
      <c r="K15" s="10" t="str">
        <f t="shared" si="2"/>
        <v>·</v>
      </c>
      <c r="L15" s="10" t="str">
        <f t="shared" si="3"/>
        <v>·</v>
      </c>
      <c r="M15" s="10" t="str">
        <f t="shared" si="4"/>
        <v>·</v>
      </c>
      <c r="N15" s="7" t="str">
        <f t="shared" si="6"/>
        <v/>
      </c>
      <c r="O15" s="25"/>
      <c r="P15" s="25"/>
      <c r="Q15" s="25"/>
      <c r="R15" s="44"/>
      <c r="S15" s="44"/>
      <c r="T15" s="44"/>
      <c r="U15" s="44"/>
      <c r="V15" s="26"/>
      <c r="W15" s="26"/>
      <c r="X15" s="26"/>
      <c r="Y15" s="26"/>
      <c r="Z15" s="26"/>
      <c r="AA15" s="26"/>
      <c r="AB15" s="11"/>
      <c r="AC15" s="11"/>
      <c r="AD15" s="11"/>
      <c r="AE15" s="11"/>
    </row>
    <row r="16" spans="1:31" ht="15" customHeight="1" outlineLevel="1">
      <c r="A16" s="17"/>
      <c r="B16" s="17" t="s">
        <v>134</v>
      </c>
      <c r="C16" s="18" t="s">
        <v>118</v>
      </c>
      <c r="D16" s="18">
        <v>545656952</v>
      </c>
      <c r="E16" s="18">
        <v>11</v>
      </c>
      <c r="F16" s="18">
        <v>300</v>
      </c>
      <c r="G16" s="18">
        <v>30</v>
      </c>
      <c r="I16" s="19" t="str">
        <f t="shared" si="0"/>
        <v>·</v>
      </c>
      <c r="J16" s="20" t="str">
        <f t="shared" si="1"/>
        <v>·</v>
      </c>
      <c r="K16" s="20" t="str">
        <f t="shared" si="2"/>
        <v>·</v>
      </c>
      <c r="L16" s="20" t="str">
        <f t="shared" si="3"/>
        <v>·</v>
      </c>
      <c r="M16" s="20" t="str">
        <f t="shared" si="4"/>
        <v>·</v>
      </c>
      <c r="N16" s="17" t="str">
        <f t="shared" si="6"/>
        <v/>
      </c>
      <c r="O16" s="27"/>
      <c r="P16" s="27"/>
      <c r="Q16" s="27"/>
      <c r="R16" s="45"/>
      <c r="S16" s="45"/>
      <c r="T16" s="45"/>
      <c r="U16" s="45"/>
      <c r="V16" s="28"/>
      <c r="W16" s="28"/>
      <c r="X16" s="28"/>
      <c r="Y16" s="28"/>
      <c r="Z16" s="28"/>
      <c r="AA16" s="28"/>
      <c r="AB16" s="21"/>
      <c r="AC16" s="21"/>
      <c r="AD16" s="21"/>
      <c r="AE16" s="21"/>
    </row>
    <row r="17" spans="1:37" ht="15" customHeight="1" outlineLevel="1">
      <c r="A17" s="7"/>
      <c r="B17" s="7" t="s">
        <v>134</v>
      </c>
      <c r="C17" s="8" t="s">
        <v>119</v>
      </c>
      <c r="D17" s="8">
        <v>545656952</v>
      </c>
      <c r="E17" s="8">
        <v>11</v>
      </c>
      <c r="F17" s="8">
        <v>300</v>
      </c>
      <c r="G17" s="8">
        <v>30</v>
      </c>
      <c r="I17" s="9" t="str">
        <f t="shared" si="0"/>
        <v>·</v>
      </c>
      <c r="J17" s="10" t="str">
        <f t="shared" si="1"/>
        <v>·</v>
      </c>
      <c r="K17" s="10" t="str">
        <f t="shared" si="2"/>
        <v>·</v>
      </c>
      <c r="L17" s="10" t="str">
        <f t="shared" si="3"/>
        <v>·</v>
      </c>
      <c r="M17" s="10" t="str">
        <f t="shared" si="4"/>
        <v>·</v>
      </c>
      <c r="N17" s="7" t="str">
        <f t="shared" si="6"/>
        <v/>
      </c>
      <c r="O17" s="25"/>
      <c r="P17" s="25"/>
      <c r="Q17" s="25"/>
      <c r="R17" s="44"/>
      <c r="S17" s="44"/>
      <c r="T17" s="44"/>
      <c r="U17" s="44"/>
      <c r="V17" s="26"/>
      <c r="W17" s="26"/>
      <c r="X17" s="26"/>
      <c r="Y17" s="26"/>
      <c r="Z17" s="26"/>
      <c r="AA17" s="26"/>
      <c r="AB17" s="11"/>
      <c r="AC17" s="11"/>
      <c r="AD17" s="11"/>
      <c r="AE17" s="11"/>
    </row>
    <row r="18" spans="1:37" ht="15" customHeight="1" outlineLevel="1">
      <c r="A18" s="17"/>
      <c r="B18" s="17" t="s">
        <v>134</v>
      </c>
      <c r="C18" s="18" t="s">
        <v>120</v>
      </c>
      <c r="D18" s="18">
        <v>545656952</v>
      </c>
      <c r="E18" s="18">
        <v>11</v>
      </c>
      <c r="F18" s="18">
        <v>300</v>
      </c>
      <c r="G18" s="18">
        <v>30</v>
      </c>
      <c r="I18" s="19" t="str">
        <f t="shared" si="0"/>
        <v>·</v>
      </c>
      <c r="J18" s="20" t="str">
        <f t="shared" si="1"/>
        <v>·</v>
      </c>
      <c r="K18" s="20" t="str">
        <f t="shared" si="2"/>
        <v>·</v>
      </c>
      <c r="L18" s="20" t="str">
        <f t="shared" si="3"/>
        <v>·</v>
      </c>
      <c r="M18" s="20" t="str">
        <f t="shared" si="4"/>
        <v>·</v>
      </c>
      <c r="N18" s="17" t="str">
        <f t="shared" si="6"/>
        <v/>
      </c>
      <c r="O18" s="27"/>
      <c r="P18" s="27"/>
      <c r="Q18" s="27"/>
      <c r="R18" s="45"/>
      <c r="S18" s="45"/>
      <c r="T18" s="45"/>
      <c r="U18" s="45"/>
      <c r="V18" s="28"/>
      <c r="W18" s="28"/>
      <c r="X18" s="28"/>
      <c r="Y18" s="28"/>
      <c r="Z18" s="28"/>
      <c r="AA18" s="28"/>
      <c r="AB18" s="21"/>
      <c r="AC18" s="21"/>
      <c r="AD18" s="21"/>
      <c r="AE18" s="21"/>
    </row>
    <row r="19" spans="1:37" ht="15.75" customHeight="1" outlineLevel="1" thickBot="1">
      <c r="A19" s="7"/>
      <c r="B19" s="29" t="s">
        <v>134</v>
      </c>
      <c r="C19" s="30" t="s">
        <v>121</v>
      </c>
      <c r="D19" s="30">
        <v>545656952</v>
      </c>
      <c r="E19" s="30">
        <v>11</v>
      </c>
      <c r="F19" s="30">
        <v>300</v>
      </c>
      <c r="G19" s="30">
        <v>30</v>
      </c>
      <c r="I19" s="31" t="str">
        <f t="shared" si="0"/>
        <v>·</v>
      </c>
      <c r="J19" s="32" t="str">
        <f t="shared" si="1"/>
        <v>·</v>
      </c>
      <c r="K19" s="32" t="str">
        <f t="shared" si="2"/>
        <v>·</v>
      </c>
      <c r="L19" s="32" t="str">
        <f t="shared" si="3"/>
        <v>·</v>
      </c>
      <c r="M19" s="32" t="str">
        <f t="shared" si="4"/>
        <v>·</v>
      </c>
      <c r="N19" s="29" t="str">
        <f t="shared" si="6"/>
        <v/>
      </c>
      <c r="O19" s="33"/>
      <c r="P19" s="33"/>
      <c r="Q19" s="33"/>
      <c r="R19" s="46"/>
      <c r="S19" s="46"/>
      <c r="T19" s="46"/>
      <c r="U19" s="46"/>
      <c r="V19" s="34"/>
      <c r="W19" s="34"/>
      <c r="X19" s="34"/>
      <c r="Y19" s="34"/>
      <c r="Z19" s="34"/>
      <c r="AA19" s="34"/>
      <c r="AB19" s="35"/>
      <c r="AC19" s="35"/>
      <c r="AD19" s="35"/>
      <c r="AE19" s="35"/>
    </row>
    <row r="20" spans="1:37" ht="15" customHeight="1">
      <c r="A20" s="17"/>
      <c r="B20" s="17" t="s">
        <v>133</v>
      </c>
      <c r="C20" s="18" t="s">
        <v>117</v>
      </c>
      <c r="D20" s="18">
        <v>492009945</v>
      </c>
      <c r="E20" s="18">
        <v>11</v>
      </c>
      <c r="F20" s="18">
        <v>300</v>
      </c>
      <c r="G20" s="18">
        <v>30</v>
      </c>
      <c r="I20" s="19" t="str">
        <f t="shared" si="0"/>
        <v>·</v>
      </c>
      <c r="J20" s="20" t="str">
        <f t="shared" si="1"/>
        <v>·</v>
      </c>
      <c r="K20" s="20" t="str">
        <f t="shared" si="2"/>
        <v>·</v>
      </c>
      <c r="L20" s="20" t="str">
        <f t="shared" si="3"/>
        <v>·</v>
      </c>
      <c r="M20" s="20" t="str">
        <f t="shared" si="4"/>
        <v>·</v>
      </c>
      <c r="N20" s="17" t="str">
        <f t="shared" si="6"/>
        <v/>
      </c>
      <c r="O20" s="27"/>
      <c r="P20" s="27"/>
      <c r="Q20" s="27"/>
      <c r="R20" s="45"/>
      <c r="S20" s="45"/>
      <c r="T20" s="45"/>
      <c r="U20" s="45"/>
      <c r="V20" s="28"/>
      <c r="W20" s="28"/>
      <c r="X20" s="28"/>
      <c r="Y20" s="28"/>
      <c r="Z20" s="28"/>
      <c r="AA20" s="28"/>
      <c r="AB20" s="21"/>
      <c r="AC20" s="21"/>
      <c r="AD20" s="21"/>
      <c r="AE20" s="21"/>
    </row>
    <row r="21" spans="1:37" ht="15" customHeight="1" outlineLevel="1">
      <c r="A21" s="7"/>
      <c r="B21" s="7" t="s">
        <v>133</v>
      </c>
      <c r="C21" s="8" t="s">
        <v>118</v>
      </c>
      <c r="D21" s="8">
        <v>492009945</v>
      </c>
      <c r="E21" s="8">
        <v>11</v>
      </c>
      <c r="F21" s="8">
        <v>300</v>
      </c>
      <c r="G21" s="8">
        <v>30</v>
      </c>
      <c r="I21" s="9" t="str">
        <f t="shared" si="0"/>
        <v>·</v>
      </c>
      <c r="J21" s="10" t="str">
        <f t="shared" si="1"/>
        <v>·</v>
      </c>
      <c r="K21" s="10" t="str">
        <f t="shared" si="2"/>
        <v>·</v>
      </c>
      <c r="L21" s="10" t="str">
        <f t="shared" si="3"/>
        <v>·</v>
      </c>
      <c r="M21" s="10" t="str">
        <f t="shared" si="4"/>
        <v>·</v>
      </c>
      <c r="N21" s="7" t="str">
        <f t="shared" si="6"/>
        <v/>
      </c>
      <c r="O21" s="25"/>
      <c r="P21" s="25"/>
      <c r="Q21" s="25"/>
      <c r="R21" s="44"/>
      <c r="S21" s="44"/>
      <c r="T21" s="44"/>
      <c r="U21" s="44"/>
      <c r="V21" s="26"/>
      <c r="W21" s="26"/>
      <c r="X21" s="26"/>
      <c r="Y21" s="26"/>
      <c r="Z21" s="26"/>
      <c r="AA21" s="26"/>
      <c r="AB21" s="11"/>
      <c r="AC21" s="11"/>
      <c r="AD21" s="11"/>
      <c r="AE21" s="11"/>
    </row>
    <row r="22" spans="1:37" ht="15" customHeight="1" outlineLevel="1">
      <c r="A22" s="17"/>
      <c r="B22" s="17" t="s">
        <v>133</v>
      </c>
      <c r="C22" s="18" t="s">
        <v>119</v>
      </c>
      <c r="D22" s="18">
        <v>492009945</v>
      </c>
      <c r="E22" s="18">
        <v>11</v>
      </c>
      <c r="F22" s="18">
        <v>300</v>
      </c>
      <c r="G22" s="18">
        <v>30</v>
      </c>
      <c r="I22" s="19" t="str">
        <f t="shared" si="0"/>
        <v>·</v>
      </c>
      <c r="J22" s="20" t="str">
        <f t="shared" si="1"/>
        <v>·</v>
      </c>
      <c r="K22" s="20" t="str">
        <f t="shared" si="2"/>
        <v>·</v>
      </c>
      <c r="L22" s="20" t="str">
        <f t="shared" si="3"/>
        <v>·</v>
      </c>
      <c r="M22" s="20" t="str">
        <f t="shared" si="4"/>
        <v>·</v>
      </c>
      <c r="N22" s="17" t="str">
        <f t="shared" si="6"/>
        <v/>
      </c>
      <c r="O22" s="27"/>
      <c r="P22" s="27"/>
      <c r="Q22" s="27"/>
      <c r="R22" s="45"/>
      <c r="S22" s="45"/>
      <c r="T22" s="45"/>
      <c r="U22" s="45"/>
      <c r="V22" s="28"/>
      <c r="W22" s="28"/>
      <c r="X22" s="28"/>
      <c r="Y22" s="28"/>
      <c r="Z22" s="28"/>
      <c r="AA22" s="28"/>
      <c r="AB22" s="21"/>
      <c r="AC22" s="21"/>
      <c r="AD22" s="21"/>
      <c r="AE22" s="21"/>
    </row>
    <row r="23" spans="1:37" ht="15" customHeight="1" outlineLevel="1">
      <c r="A23" s="7"/>
      <c r="B23" s="7" t="s">
        <v>133</v>
      </c>
      <c r="C23" s="8" t="s">
        <v>120</v>
      </c>
      <c r="D23" s="8">
        <v>492009945</v>
      </c>
      <c r="E23" s="8">
        <v>11</v>
      </c>
      <c r="F23" s="8">
        <v>300</v>
      </c>
      <c r="G23" s="8">
        <v>30</v>
      </c>
      <c r="I23" s="9" t="str">
        <f t="shared" si="0"/>
        <v>·</v>
      </c>
      <c r="J23" s="10" t="str">
        <f t="shared" si="1"/>
        <v>·</v>
      </c>
      <c r="K23" s="10" t="str">
        <f t="shared" si="2"/>
        <v>·</v>
      </c>
      <c r="L23" s="10" t="str">
        <f t="shared" si="3"/>
        <v>·</v>
      </c>
      <c r="M23" s="10" t="str">
        <f t="shared" si="4"/>
        <v>·</v>
      </c>
      <c r="N23" s="7" t="str">
        <f t="shared" si="6"/>
        <v/>
      </c>
      <c r="O23" s="25"/>
      <c r="P23" s="25"/>
      <c r="Q23" s="25"/>
      <c r="R23" s="44"/>
      <c r="S23" s="44"/>
      <c r="T23" s="44"/>
      <c r="U23" s="44"/>
      <c r="V23" s="26"/>
      <c r="W23" s="26"/>
      <c r="X23" s="26"/>
      <c r="Y23" s="26"/>
      <c r="Z23" s="26"/>
      <c r="AA23" s="26"/>
      <c r="AB23" s="11"/>
      <c r="AC23" s="11"/>
      <c r="AD23" s="11"/>
      <c r="AE23" s="11"/>
    </row>
    <row r="24" spans="1:37" ht="15.75" customHeight="1" outlineLevel="1" thickBot="1">
      <c r="A24" s="12"/>
      <c r="B24" s="12" t="s">
        <v>133</v>
      </c>
      <c r="C24" s="13" t="s">
        <v>121</v>
      </c>
      <c r="D24" s="13">
        <v>492009945</v>
      </c>
      <c r="E24" s="13">
        <v>11</v>
      </c>
      <c r="F24" s="13">
        <v>300</v>
      </c>
      <c r="G24" s="13">
        <v>30</v>
      </c>
      <c r="I24" s="14" t="str">
        <f t="shared" si="0"/>
        <v>·</v>
      </c>
      <c r="J24" s="15" t="str">
        <f t="shared" si="1"/>
        <v>·</v>
      </c>
      <c r="K24" s="15" t="str">
        <f t="shared" si="2"/>
        <v>·</v>
      </c>
      <c r="L24" s="15" t="str">
        <f t="shared" si="3"/>
        <v>·</v>
      </c>
      <c r="M24" s="15" t="str">
        <f t="shared" si="4"/>
        <v>·</v>
      </c>
      <c r="N24" s="12" t="str">
        <f t="shared" si="6"/>
        <v/>
      </c>
      <c r="O24" s="36"/>
      <c r="P24" s="36"/>
      <c r="Q24" s="36"/>
      <c r="R24" s="47"/>
      <c r="S24" s="47"/>
      <c r="T24" s="47"/>
      <c r="U24" s="47"/>
      <c r="V24" s="37"/>
      <c r="W24" s="37"/>
      <c r="X24" s="37"/>
      <c r="Y24" s="37"/>
      <c r="Z24" s="37"/>
      <c r="AA24" s="37"/>
      <c r="AB24" s="16"/>
      <c r="AC24" s="16"/>
      <c r="AD24" s="16"/>
      <c r="AE24" s="16"/>
    </row>
    <row r="25" spans="1:37" ht="15" customHeight="1">
      <c r="A25" s="7" t="s">
        <v>81</v>
      </c>
      <c r="B25" s="7" t="s">
        <v>131</v>
      </c>
      <c r="C25" s="8" t="s">
        <v>117</v>
      </c>
      <c r="D25" s="8">
        <v>515439364</v>
      </c>
      <c r="E25" s="8">
        <v>11</v>
      </c>
      <c r="F25" s="8">
        <v>300</v>
      </c>
      <c r="G25" s="8">
        <v>30</v>
      </c>
      <c r="I25" s="9" t="str">
        <f t="shared" si="0"/>
        <v>·</v>
      </c>
      <c r="J25" s="10" t="str">
        <f t="shared" si="1"/>
        <v>·</v>
      </c>
      <c r="K25" s="10" t="str">
        <f t="shared" si="2"/>
        <v>·</v>
      </c>
      <c r="L25" s="10" t="str">
        <f t="shared" si="3"/>
        <v>·</v>
      </c>
      <c r="M25" s="10" t="str">
        <f t="shared" si="4"/>
        <v>·</v>
      </c>
      <c r="N25" s="7" t="str">
        <f t="shared" si="6"/>
        <v/>
      </c>
      <c r="O25" s="25"/>
      <c r="P25" s="25"/>
      <c r="Q25" s="25"/>
      <c r="R25" s="44"/>
      <c r="S25" s="44"/>
      <c r="T25" s="44"/>
      <c r="U25" s="44"/>
      <c r="V25" s="26"/>
      <c r="W25" s="26"/>
      <c r="X25" s="26"/>
      <c r="Y25" s="26"/>
      <c r="Z25" s="26"/>
      <c r="AA25" s="26"/>
      <c r="AB25" s="11"/>
      <c r="AC25" s="11"/>
      <c r="AD25" s="11"/>
      <c r="AE25" s="11"/>
    </row>
    <row r="26" spans="1:37" ht="15" customHeight="1" outlineLevel="1">
      <c r="A26" s="17"/>
      <c r="B26" s="17" t="s">
        <v>131</v>
      </c>
      <c r="C26" s="18" t="s">
        <v>118</v>
      </c>
      <c r="D26" s="18">
        <v>515439364</v>
      </c>
      <c r="E26" s="18">
        <v>11</v>
      </c>
      <c r="F26" s="18">
        <v>300</v>
      </c>
      <c r="G26" s="18">
        <v>30</v>
      </c>
      <c r="I26" s="19" t="str">
        <f t="shared" si="0"/>
        <v>·</v>
      </c>
      <c r="J26" s="20" t="str">
        <f t="shared" si="1"/>
        <v>·</v>
      </c>
      <c r="K26" s="20" t="str">
        <f t="shared" si="2"/>
        <v>·</v>
      </c>
      <c r="L26" s="20" t="str">
        <f t="shared" si="3"/>
        <v>·</v>
      </c>
      <c r="M26" s="20" t="str">
        <f t="shared" si="4"/>
        <v>·</v>
      </c>
      <c r="N26" s="17" t="str">
        <f t="shared" si="6"/>
        <v/>
      </c>
      <c r="O26" s="27"/>
      <c r="P26" s="27"/>
      <c r="Q26" s="27"/>
      <c r="R26" s="45"/>
      <c r="S26" s="45"/>
      <c r="T26" s="45"/>
      <c r="U26" s="45"/>
      <c r="V26" s="28"/>
      <c r="W26" s="28"/>
      <c r="X26" s="28"/>
      <c r="Y26" s="28"/>
      <c r="Z26" s="28"/>
      <c r="AA26" s="28"/>
      <c r="AB26" s="21"/>
      <c r="AC26" s="21"/>
      <c r="AD26" s="21"/>
      <c r="AE26" s="21"/>
    </row>
    <row r="27" spans="1:37" ht="15" customHeight="1" outlineLevel="1">
      <c r="A27" s="7"/>
      <c r="B27" s="7" t="s">
        <v>131</v>
      </c>
      <c r="C27" s="8" t="s">
        <v>119</v>
      </c>
      <c r="D27" s="8">
        <v>515439364</v>
      </c>
      <c r="E27" s="8">
        <v>11</v>
      </c>
      <c r="F27" s="8">
        <v>300</v>
      </c>
      <c r="G27" s="8">
        <v>30</v>
      </c>
      <c r="I27" s="9" t="str">
        <f t="shared" si="0"/>
        <v>·</v>
      </c>
      <c r="J27" s="10" t="str">
        <f t="shared" si="1"/>
        <v>·</v>
      </c>
      <c r="K27" s="10" t="str">
        <f t="shared" si="2"/>
        <v>·</v>
      </c>
      <c r="L27" s="10" t="str">
        <f t="shared" si="3"/>
        <v>·</v>
      </c>
      <c r="M27" s="10" t="str">
        <f t="shared" si="4"/>
        <v>·</v>
      </c>
      <c r="N27" s="7" t="str">
        <f t="shared" si="6"/>
        <v/>
      </c>
      <c r="O27" s="25"/>
      <c r="P27" s="25"/>
      <c r="Q27" s="25"/>
      <c r="R27" s="44"/>
      <c r="S27" s="44"/>
      <c r="T27" s="44"/>
      <c r="U27" s="44"/>
      <c r="V27" s="26"/>
      <c r="W27" s="26"/>
      <c r="X27" s="26"/>
      <c r="Y27" s="26"/>
      <c r="Z27" s="26"/>
      <c r="AA27" s="26"/>
      <c r="AB27" s="11"/>
      <c r="AC27" s="11"/>
      <c r="AD27" s="11"/>
      <c r="AE27" s="11"/>
    </row>
    <row r="28" spans="1:37" ht="15" customHeight="1" outlineLevel="1">
      <c r="A28" s="17"/>
      <c r="B28" s="17" t="s">
        <v>131</v>
      </c>
      <c r="C28" s="18" t="s">
        <v>120</v>
      </c>
      <c r="D28" s="18">
        <v>515439364</v>
      </c>
      <c r="E28" s="18">
        <v>11</v>
      </c>
      <c r="F28" s="18">
        <v>300</v>
      </c>
      <c r="G28" s="18">
        <v>30</v>
      </c>
      <c r="I28" s="19" t="str">
        <f t="shared" si="0"/>
        <v>·</v>
      </c>
      <c r="J28" s="20" t="str">
        <f t="shared" si="1"/>
        <v>·</v>
      </c>
      <c r="K28" s="20" t="str">
        <f t="shared" si="2"/>
        <v>·</v>
      </c>
      <c r="L28" s="20" t="str">
        <f t="shared" si="3"/>
        <v>·</v>
      </c>
      <c r="M28" s="20" t="str">
        <f t="shared" si="4"/>
        <v>·</v>
      </c>
      <c r="N28" s="17" t="str">
        <f t="shared" si="6"/>
        <v/>
      </c>
      <c r="O28" s="27"/>
      <c r="P28" s="27"/>
      <c r="Q28" s="27"/>
      <c r="R28" s="45"/>
      <c r="S28" s="45"/>
      <c r="T28" s="45"/>
      <c r="U28" s="45"/>
      <c r="V28" s="28"/>
      <c r="W28" s="28"/>
      <c r="X28" s="28"/>
      <c r="Y28" s="28"/>
      <c r="Z28" s="28"/>
      <c r="AA28" s="28"/>
      <c r="AB28" s="21"/>
      <c r="AC28" s="21"/>
      <c r="AD28" s="21"/>
      <c r="AE28" s="21"/>
    </row>
    <row r="29" spans="1:37" ht="15.75" customHeight="1" outlineLevel="1" thickBot="1">
      <c r="A29" s="7"/>
      <c r="B29" s="29" t="s">
        <v>131</v>
      </c>
      <c r="C29" s="30" t="s">
        <v>121</v>
      </c>
      <c r="D29" s="30">
        <v>515439364</v>
      </c>
      <c r="E29" s="30">
        <v>11</v>
      </c>
      <c r="F29" s="30">
        <v>300</v>
      </c>
      <c r="G29" s="30">
        <v>30</v>
      </c>
      <c r="I29" s="31" t="str">
        <f t="shared" si="0"/>
        <v>·</v>
      </c>
      <c r="J29" s="32" t="str">
        <f t="shared" si="1"/>
        <v>·</v>
      </c>
      <c r="K29" s="32" t="str">
        <f t="shared" si="2"/>
        <v>·</v>
      </c>
      <c r="L29" s="32" t="str">
        <f t="shared" si="3"/>
        <v>·</v>
      </c>
      <c r="M29" s="32" t="str">
        <f t="shared" si="4"/>
        <v>·</v>
      </c>
      <c r="N29" s="29" t="str">
        <f t="shared" si="6"/>
        <v/>
      </c>
      <c r="O29" s="33"/>
      <c r="P29" s="33"/>
      <c r="Q29" s="33"/>
      <c r="R29" s="46"/>
      <c r="S29" s="46"/>
      <c r="T29" s="46"/>
      <c r="U29" s="46"/>
      <c r="V29" s="34"/>
      <c r="W29" s="34"/>
      <c r="X29" s="34"/>
      <c r="Y29" s="34"/>
      <c r="Z29" s="34"/>
      <c r="AA29" s="34"/>
      <c r="AB29" s="35"/>
      <c r="AC29" s="35"/>
      <c r="AD29" s="35"/>
      <c r="AE29" s="35"/>
    </row>
    <row r="30" spans="1:37">
      <c r="B30" s="22" t="s">
        <v>1</v>
      </c>
      <c r="J30" s="23" t="e">
        <f>AVERAGE(J5:J14)</f>
        <v>#DIV/0!</v>
      </c>
      <c r="K30" s="23"/>
      <c r="L30" s="23"/>
      <c r="R30" s="42"/>
    </row>
    <row r="31" spans="1:37">
      <c r="B31" s="22" t="s">
        <v>2</v>
      </c>
      <c r="J31" s="23" t="e">
        <f>AVERAGE(J15:J24)</f>
        <v>#DIV/0!</v>
      </c>
      <c r="K31" s="23"/>
      <c r="L31" s="23"/>
      <c r="AG31" s="1"/>
      <c r="AH31" s="1"/>
      <c r="AI31" s="1"/>
      <c r="AJ31" s="1"/>
      <c r="AK31" s="1"/>
    </row>
    <row r="32" spans="1:37">
      <c r="B32" s="22" t="s">
        <v>3</v>
      </c>
      <c r="J32" s="23" t="e">
        <f>AVERAGE(J25:J29)</f>
        <v>#DIV/0!</v>
      </c>
      <c r="K32" s="23"/>
      <c r="L32" s="23"/>
      <c r="R32" s="41"/>
      <c r="AG32" s="1"/>
      <c r="AH32" s="1"/>
      <c r="AI32" s="1"/>
      <c r="AJ32" s="1"/>
      <c r="AK32" s="1"/>
    </row>
    <row r="33" spans="1:37">
      <c r="B33" s="22" t="s">
        <v>4</v>
      </c>
      <c r="J33" s="23" t="e">
        <f>AVERAGE(J5:J29)</f>
        <v>#DIV/0!</v>
      </c>
      <c r="K33" s="23"/>
      <c r="L33" s="23"/>
      <c r="AG33" s="1"/>
      <c r="AH33" s="1"/>
      <c r="AI33" s="1"/>
      <c r="AJ33" s="1"/>
      <c r="AK33" s="1"/>
    </row>
    <row r="34" spans="1:37">
      <c r="A34" s="22" t="s">
        <v>82</v>
      </c>
      <c r="B34" s="22" t="s">
        <v>83</v>
      </c>
      <c r="Z34" s="24"/>
      <c r="AA34" s="24"/>
      <c r="AB34" s="24">
        <f>SUM(AB5:AB14,AB15:AB24,AB25:AB29)</f>
        <v>0</v>
      </c>
      <c r="AC34" s="24">
        <f>SUM(AC5:AC14,AC15:AC24,AC25:AC29)</f>
        <v>0</v>
      </c>
      <c r="AD34" s="24">
        <f>SUM(AD5:AD14,AD15:AD24,AD25:AD29)</f>
        <v>0</v>
      </c>
      <c r="AE34" s="24">
        <f>SUM(AE5:AE14,AE15:AE24,AE25:AE29)</f>
        <v>0</v>
      </c>
    </row>
    <row r="35" spans="1:37">
      <c r="B35" s="22" t="s">
        <v>84</v>
      </c>
    </row>
    <row r="38" spans="1:37" ht="15.75" customHeight="1"/>
    <row r="78" ht="15.75" customHeight="1"/>
  </sheetData>
  <mergeCells count="20">
    <mergeCell ref="AD2:AE2"/>
    <mergeCell ref="J2:M2"/>
    <mergeCell ref="R2:U2"/>
    <mergeCell ref="V2:W2"/>
    <mergeCell ref="X2:Z2"/>
    <mergeCell ref="AB2:AC2"/>
    <mergeCell ref="O2:O3"/>
    <mergeCell ref="P2:P3"/>
    <mergeCell ref="A1:G1"/>
    <mergeCell ref="F2:F3"/>
    <mergeCell ref="G2:G3"/>
    <mergeCell ref="N2:N3"/>
    <mergeCell ref="A2:A3"/>
    <mergeCell ref="B2:B3"/>
    <mergeCell ref="C2:C3"/>
    <mergeCell ref="D2:D3"/>
    <mergeCell ref="E2:E3"/>
    <mergeCell ref="I1:AE1"/>
    <mergeCell ref="I2:I3"/>
    <mergeCell ref="Q2:Q3"/>
  </mergeCells>
  <phoneticPr fontId="2" type="noConversion"/>
  <conditionalFormatting sqref="I5:I30">
    <cfRule type="expression" dxfId="2" priority="71">
      <formula>OR(I5 &lt; #REF! * 0.9, I5 &gt; #REF!)</formula>
    </cfRule>
  </conditionalFormatting>
  <conditionalFormatting sqref="AG31:AK33">
    <cfRule type="cellIs" dxfId="1" priority="68" operator="greaterThanOrEqual">
      <formula>0.001</formula>
    </cfRule>
    <cfRule type="cellIs" dxfId="0" priority="69" operator="lessThanOrEqual">
      <formula>-0.001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Graphs</vt:lpstr>
      <vt:lpstr>names</vt:lpstr>
      <vt:lpstr>C2 lossy RA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Celine Guede</cp:lastModifiedBy>
  <dcterms:created xsi:type="dcterms:W3CDTF">2021-10-29T10:34:58Z</dcterms:created>
  <dcterms:modified xsi:type="dcterms:W3CDTF">2025-04-24T07:12:40Z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d2f777e-4347-4fc6-823a-b44ab313546a_Enabled">
    <vt:lpwstr>true</vt:lpwstr>
  </property>
  <property fmtid="{D5CDD505-2E9C-101B-9397-08002B2CF9AE}" pid="3" name="MSIP_Label_4d2f777e-4347-4fc6-823a-b44ab313546a_SetDate">
    <vt:lpwstr>2024-10-22T16:09:41Z</vt:lpwstr>
  </property>
  <property fmtid="{D5CDD505-2E9C-101B-9397-08002B2CF9AE}" pid="4" name="MSIP_Label_4d2f777e-4347-4fc6-823a-b44ab313546a_Method">
    <vt:lpwstr>Standard</vt:lpwstr>
  </property>
  <property fmtid="{D5CDD505-2E9C-101B-9397-08002B2CF9AE}" pid="5" name="MSIP_Label_4d2f777e-4347-4fc6-823a-b44ab313546a_Name">
    <vt:lpwstr>Non-Public</vt:lpwstr>
  </property>
  <property fmtid="{D5CDD505-2E9C-101B-9397-08002B2CF9AE}" pid="6" name="MSIP_Label_4d2f777e-4347-4fc6-823a-b44ab313546a_SiteId">
    <vt:lpwstr>e351b779-f6d5-4e50-8568-80e922d180ae</vt:lpwstr>
  </property>
  <property fmtid="{D5CDD505-2E9C-101B-9397-08002B2CF9AE}" pid="7" name="MSIP_Label_4d2f777e-4347-4fc6-823a-b44ab313546a_ActionId">
    <vt:lpwstr>3bd1608a-42d4-495c-83a7-487af34c2ac7</vt:lpwstr>
  </property>
  <property fmtid="{D5CDD505-2E9C-101B-9397-08002B2CF9AE}" pid="8" name="MSIP_Label_4d2f777e-4347-4fc6-823a-b44ab313546a_ContentBits">
    <vt:lpwstr>0</vt:lpwstr>
  </property>
</Properties>
</file>